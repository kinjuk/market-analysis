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M" sheetId="1" r:id="rId4"/>
    <sheet state="visible" name="DCF" sheetId="2" r:id="rId5"/>
    <sheet state="visible" name="Multiples" sheetId="3" r:id="rId6"/>
    <sheet state="visible" name="Grahams Revised" sheetId="4" r:id="rId7"/>
    <sheet state="visible" name="Peter Lynchs Adapted FV" sheetId="5" r:id="rId8"/>
    <sheet state="visible" name="Final Valuation Analysis" sheetId="6" r:id="rId9"/>
  </sheets>
  <definedNames>
    <definedName localSheetId="0" name="solver_cvg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localSheetId="0" name="solver_drv">1</definedName>
    <definedName localSheetId="0" name="solver_eng">1</definedName>
    <definedName localSheetId="0" name="solver_est">1</definedName>
    <definedName localSheetId="0" name="solver_itr">2147483647</definedName>
    <definedName localSheetId="0" name="solver_mip">2147483647</definedName>
    <definedName localSheetId="0" name="solver_mni">30</definedName>
    <definedName localSheetId="0" name="solver_mrt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localSheetId="0" name="solver_msl">2</definedName>
    <definedName localSheetId="0" name="solver_neg">1</definedName>
    <definedName localSheetId="0" name="solver_nod">2147483647</definedName>
    <definedName localSheetId="0" name="solver_num">0</definedName>
    <definedName localSheetId="0" name="solver_nwt">1</definedName>
    <definedName localSheetId="0" name="solver_pre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localSheetId="0" name="solver_rbv">1</definedName>
    <definedName localSheetId="0" name="solver_rel0">3</definedName>
    <definedName localSheetId="0" name="solver_rel1">3</definedName>
    <definedName localSheetId="0" name="solver_rel2">1</definedName>
    <definedName localSheetId="0" name="solver_rel3">3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3</definedName>
    <definedName localSheetId="0" name="solver_val">218.3</definedName>
    <definedName localSheetId="0" name="solver_ver">3</definedName>
    <definedName localSheetId="0" name="solver_lhs3">DDM!$B$13:$E$13</definedName>
    <definedName localSheetId="0" name="solver_rhs1">DDM!$B$8:$E$8</definedName>
    <definedName localSheetId="0" name="solver_opt">DDM!$I$19</definedName>
    <definedName localSheetId="0" name="solver_adj">DDM!$I$16</definedName>
    <definedName localSheetId="0" name="solver_lhs1">DDM!$B$13:$E$13</definedName>
    <definedName localSheetId="0" name="solver_rhs3">DDM!$B$8:$E$8</definedName>
    <definedName localSheetId="0" name="solver_rhs0">DDM!$B$8:$E$8</definedName>
    <definedName localSheetId="0" name="solver_lhs2">DDM!$B$13:$E$13</definedName>
    <definedName localSheetId="0" name="solver_rhs2">DDM!$B$9:$E$9</definedName>
    <definedName localSheetId="0" name="solver_lhs0">DDM!$B$13:$E$13</definedName>
  </definedNames>
  <calcPr/>
  <extLst>
    <ext uri="GoogleSheetsCustomDataVersion2">
      <go:sheetsCustomData xmlns:go="http://customooxmlschemas.google.com/" r:id="rId10" roundtripDataChecksum="u5gLt/ck8kkuSDsrzQe0tOMD3lzNiWmFo7OTClBNNNs="/>
    </ext>
  </extLst>
</workbook>
</file>

<file path=xl/sharedStrings.xml><?xml version="1.0" encoding="utf-8"?>
<sst xmlns="http://schemas.openxmlformats.org/spreadsheetml/2006/main" count="97" uniqueCount="69">
  <si>
    <t>Dividend Discount Model (DDM)</t>
  </si>
  <si>
    <t>Broadcom Inc (AVGO)</t>
  </si>
  <si>
    <t>Year</t>
  </si>
  <si>
    <t>Quartely Dividend</t>
  </si>
  <si>
    <t>Annual Dividend</t>
  </si>
  <si>
    <t>Growth</t>
  </si>
  <si>
    <t>N/A</t>
  </si>
  <si>
    <t>Required Return (R) Solver</t>
  </si>
  <si>
    <t>Dividend Growth (g)</t>
  </si>
  <si>
    <t>Required Return (r)</t>
  </si>
  <si>
    <t>Current Price</t>
  </si>
  <si>
    <t>DDM Price</t>
  </si>
  <si>
    <t>Overvalued or Undervalued</t>
  </si>
  <si>
    <t>Discounted Cash Flow Analysis Model</t>
  </si>
  <si>
    <t>Free Cash Flow</t>
  </si>
  <si>
    <t>Average Growth Rate:</t>
  </si>
  <si>
    <t>Terminal Value</t>
  </si>
  <si>
    <t>Future Free Cash Flows</t>
  </si>
  <si>
    <t>PV</t>
  </si>
  <si>
    <t>Perpetual Growth Rate:</t>
  </si>
  <si>
    <t>Discount Rate:</t>
  </si>
  <si>
    <t>Total FCF</t>
  </si>
  <si>
    <t>Cash + Equivalents</t>
  </si>
  <si>
    <t>Total Debt</t>
  </si>
  <si>
    <t>Equity Value</t>
  </si>
  <si>
    <t>Shares Outstanding</t>
  </si>
  <si>
    <t>Margin of Safety</t>
  </si>
  <si>
    <t>DCF Share Price</t>
  </si>
  <si>
    <t>Difference</t>
  </si>
  <si>
    <t>Multiples Valuation Model</t>
  </si>
  <si>
    <t>Ticker</t>
  </si>
  <si>
    <t>Company Name</t>
  </si>
  <si>
    <t>Stock Price</t>
  </si>
  <si>
    <t>EPS</t>
  </si>
  <si>
    <t>P/E Multiple</t>
  </si>
  <si>
    <t>NVDA</t>
  </si>
  <si>
    <t>Nvidia</t>
  </si>
  <si>
    <t>AMD</t>
  </si>
  <si>
    <t>Advanced Micro Devices</t>
  </si>
  <si>
    <t>QCOM</t>
  </si>
  <si>
    <t>Qualcomm</t>
  </si>
  <si>
    <t>TSMC</t>
  </si>
  <si>
    <t>Taiwan Semiconductor Manufacturing Co</t>
  </si>
  <si>
    <t>Average P/E</t>
  </si>
  <si>
    <t>Median P/E</t>
  </si>
  <si>
    <t>Forward EPS</t>
  </si>
  <si>
    <t>KO</t>
  </si>
  <si>
    <t>Benjamin Graham's Revised Valuation Model</t>
  </si>
  <si>
    <t>AVGO</t>
  </si>
  <si>
    <t>P/E Constant</t>
  </si>
  <si>
    <t>Est. EPS Growth Rate</t>
  </si>
  <si>
    <t>Growth Constant</t>
  </si>
  <si>
    <t>Average Yield of AAA Corp Bonds Constant</t>
  </si>
  <si>
    <t>Current Yield of AAA Corp Bonds</t>
  </si>
  <si>
    <t>Graham's Intrinsic Value</t>
  </si>
  <si>
    <t>Peter Lynch's Adapted FV</t>
  </si>
  <si>
    <t>Forward P/E</t>
  </si>
  <si>
    <t>PEG</t>
  </si>
  <si>
    <t>Projected EPS Growth Rate</t>
  </si>
  <si>
    <t>10y Avg EBITDA Growth Rate</t>
  </si>
  <si>
    <t>Fair Value</t>
  </si>
  <si>
    <t>Final Valuation Analysis</t>
  </si>
  <si>
    <t>DDM</t>
  </si>
  <si>
    <t>DCF</t>
  </si>
  <si>
    <t>Multiples</t>
  </si>
  <si>
    <t>Graham's Revised</t>
  </si>
  <si>
    <t>Average Fair Value</t>
  </si>
  <si>
    <t>MoS</t>
  </si>
  <si>
    <t>Limit Buy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</si>
</sst>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[$$-409]* #,##0.00_ ;_-[$$-409]* \-#,##0.00\ ;_-[$$-409]* &quot;-&quot;??_ ;_-@_ "/>
    <numFmt numFmtId="165" formatCode="0.000%"/>
    <numFmt numFmtId="166" formatCode="0.0000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/>
    <font>
      <sz val="9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AEABAB"/>
        <bgColor rgb="FFAEABAB"/>
      </patternFill>
    </fill>
    <fill>
      <patternFill patternType="solid">
        <fgColor rgb="FFA8D08D"/>
        <bgColor rgb="FFA8D08D"/>
      </patternFill>
    </fill>
    <fill>
      <patternFill patternType="solid">
        <fgColor rgb="FFFCE5CD"/>
        <bgColor rgb="FFFCE5CD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FFF66"/>
        <bgColor rgb="FFFFFF66"/>
      </patternFill>
    </fill>
    <fill>
      <patternFill patternType="solid">
        <fgColor rgb="FFFF0000"/>
        <bgColor rgb="FFFF0000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5" fillId="0" fontId="3" numFmtId="10" xfId="0" applyAlignment="1" applyBorder="1" applyFont="1" applyNumberFormat="1">
      <alignment horizontal="center" vertical="center"/>
    </xf>
    <xf borderId="5" fillId="5" fontId="3" numFmtId="10" xfId="0" applyAlignment="1" applyBorder="1" applyFill="1" applyFont="1" applyNumberFormat="1">
      <alignment horizontal="center" vertical="center"/>
    </xf>
    <xf borderId="5" fillId="5" fontId="3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10" xfId="0" applyAlignment="1" applyBorder="1" applyFont="1" applyNumberFormat="1">
      <alignment horizontal="center" vertical="center"/>
    </xf>
    <xf borderId="1" fillId="4" fontId="1" numFmtId="9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6" fontId="4" numFmtId="164" xfId="0" applyAlignment="1" applyBorder="1" applyFont="1" applyNumberFormat="1">
      <alignment horizontal="center" vertical="center"/>
    </xf>
    <xf borderId="1" fillId="6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7" fillId="4" fontId="1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1" fillId="0" fontId="3" numFmtId="164" xfId="0" applyAlignment="1" applyBorder="1" applyFont="1" applyNumberFormat="1">
      <alignment readingOrder="0" vertical="center"/>
    </xf>
    <xf borderId="12" fillId="0" fontId="3" numFmtId="164" xfId="0" applyAlignment="1" applyBorder="1" applyFont="1" applyNumberFormat="1">
      <alignment readingOrder="0" vertical="center"/>
    </xf>
    <xf borderId="0" fillId="0" fontId="3" numFmtId="164" xfId="0" applyAlignment="1" applyFont="1" applyNumberFormat="1">
      <alignment horizontal="center" vertical="center"/>
    </xf>
    <xf borderId="13" fillId="0" fontId="3" numFmtId="10" xfId="0" applyAlignment="1" applyBorder="1" applyFont="1" applyNumberFormat="1">
      <alignment horizontal="center" vertical="center"/>
    </xf>
    <xf borderId="14" fillId="7" fontId="1" numFmtId="0" xfId="0" applyAlignment="1" applyBorder="1" applyFill="1" applyFont="1">
      <alignment horizontal="center" vertical="center"/>
    </xf>
    <xf borderId="15" fillId="7" fontId="3" numFmtId="10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1" fillId="3" fontId="5" numFmtId="0" xfId="0" applyAlignment="1" applyBorder="1" applyFont="1">
      <alignment horizontal="center" vertical="center"/>
    </xf>
    <xf borderId="14" fillId="8" fontId="3" numFmtId="0" xfId="0" applyAlignment="1" applyBorder="1" applyFill="1" applyFont="1">
      <alignment horizontal="center" vertical="center"/>
    </xf>
    <xf borderId="16" fillId="8" fontId="3" numFmtId="0" xfId="0" applyAlignment="1" applyBorder="1" applyFont="1">
      <alignment horizontal="center" vertical="center"/>
    </xf>
    <xf borderId="17" fillId="8" fontId="3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vertical="center"/>
    </xf>
    <xf borderId="12" fillId="0" fontId="3" numFmtId="164" xfId="0" applyAlignment="1" applyBorder="1" applyFont="1" applyNumberFormat="1">
      <alignment vertical="center"/>
    </xf>
    <xf borderId="13" fillId="0" fontId="3" numFmtId="164" xfId="0" applyAlignment="1" applyBorder="1" applyFont="1" applyNumberFormat="1">
      <alignment horizontal="left" vertical="center"/>
    </xf>
    <xf borderId="13" fillId="0" fontId="3" numFmtId="164" xfId="0" applyAlignment="1" applyBorder="1" applyFont="1" applyNumberFormat="1">
      <alignment vertical="center"/>
    </xf>
    <xf borderId="18" fillId="0" fontId="3" numFmtId="164" xfId="0" applyAlignment="1" applyBorder="1" applyFont="1" applyNumberFormat="1">
      <alignment vertical="center"/>
    </xf>
    <xf borderId="19" fillId="9" fontId="1" numFmtId="0" xfId="0" applyAlignment="1" applyBorder="1" applyFill="1" applyFont="1">
      <alignment horizontal="center" vertical="center"/>
    </xf>
    <xf borderId="9" fillId="9" fontId="3" numFmtId="9" xfId="0" applyAlignment="1" applyBorder="1" applyFont="1" applyNumberFormat="1">
      <alignment horizontal="center" readingOrder="0" vertical="center"/>
    </xf>
    <xf borderId="14" fillId="10" fontId="1" numFmtId="0" xfId="0" applyAlignment="1" applyBorder="1" applyFill="1" applyFont="1">
      <alignment horizontal="center" vertical="center"/>
    </xf>
    <xf borderId="15" fillId="10" fontId="3" numFmtId="9" xfId="0" applyAlignment="1" applyBorder="1" applyFont="1" applyNumberFormat="1">
      <alignment horizontal="center" readingOrder="0" vertical="center"/>
    </xf>
    <xf borderId="10" fillId="8" fontId="3" numFmtId="164" xfId="0" applyAlignment="1" applyBorder="1" applyFont="1" applyNumberFormat="1">
      <alignment horizontal="left" vertical="center"/>
    </xf>
    <xf borderId="10" fillId="8" fontId="3" numFmtId="164" xfId="0" applyAlignment="1" applyBorder="1" applyFont="1" applyNumberFormat="1">
      <alignment horizontal="left" readingOrder="0" vertical="center"/>
    </xf>
    <xf borderId="7" fillId="8" fontId="3" numFmtId="164" xfId="0" applyAlignment="1" applyBorder="1" applyFont="1" applyNumberFormat="1">
      <alignment vertical="center"/>
    </xf>
    <xf borderId="4" fillId="8" fontId="3" numFmtId="3" xfId="0" applyAlignment="1" applyBorder="1" applyFont="1" applyNumberFormat="1">
      <alignment readingOrder="0" vertical="center"/>
    </xf>
    <xf borderId="5" fillId="11" fontId="1" numFmtId="0" xfId="0" applyAlignment="1" applyBorder="1" applyFill="1" applyFont="1">
      <alignment horizontal="center" vertical="center"/>
    </xf>
    <xf borderId="5" fillId="12" fontId="3" numFmtId="9" xfId="0" applyAlignment="1" applyBorder="1" applyFill="1" applyFont="1" applyNumberFormat="1">
      <alignment readingOrder="0" vertical="center"/>
    </xf>
    <xf borderId="10" fillId="6" fontId="1" numFmtId="0" xfId="0" applyAlignment="1" applyBorder="1" applyFont="1">
      <alignment horizontal="center" vertical="center"/>
    </xf>
    <xf borderId="10" fillId="6" fontId="4" numFmtId="164" xfId="0" applyAlignment="1" applyBorder="1" applyFont="1" applyNumberFormat="1">
      <alignment vertical="center"/>
    </xf>
    <xf borderId="10" fillId="8" fontId="1" numFmtId="0" xfId="0" applyAlignment="1" applyBorder="1" applyFont="1">
      <alignment horizontal="center" vertical="center"/>
    </xf>
    <xf borderId="10" fillId="8" fontId="3" numFmtId="164" xfId="0" applyAlignment="1" applyBorder="1" applyFont="1" applyNumberFormat="1">
      <alignment readingOrder="0" vertical="center"/>
    </xf>
    <xf borderId="4" fillId="8" fontId="1" numFmtId="0" xfId="0" applyAlignment="1" applyBorder="1" applyFont="1">
      <alignment horizontal="center" vertical="center"/>
    </xf>
    <xf borderId="4" fillId="8" fontId="3" numFmtId="9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20" fillId="4" fontId="1" numFmtId="0" xfId="0" applyAlignment="1" applyBorder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center" vertical="center"/>
    </xf>
    <xf borderId="7" fillId="8" fontId="3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horizontal="center" readingOrder="0" vertical="center"/>
    </xf>
    <xf borderId="11" fillId="0" fontId="3" numFmtId="164" xfId="0" applyAlignment="1" applyBorder="1" applyFont="1" applyNumberFormat="1">
      <alignment horizontal="left" readingOrder="0" vertical="center"/>
    </xf>
    <xf borderId="11" fillId="0" fontId="3" numFmtId="0" xfId="0" applyAlignment="1" applyBorder="1" applyFont="1">
      <alignment horizontal="center" readingOrder="0" vertical="center"/>
    </xf>
    <xf borderId="12" fillId="0" fontId="3" numFmtId="2" xfId="0" applyAlignment="1" applyBorder="1" applyFont="1" applyNumberFormat="1">
      <alignment horizontal="center" vertical="center"/>
    </xf>
    <xf borderId="10" fillId="8" fontId="3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23" fillId="0" fontId="3" numFmtId="2" xfId="0" applyAlignment="1" applyBorder="1" applyFont="1" applyNumberFormat="1">
      <alignment horizontal="center" vertical="center"/>
    </xf>
    <xf borderId="4" fillId="8" fontId="3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horizontal="center" readingOrder="0" vertical="center"/>
    </xf>
    <xf borderId="13" fillId="0" fontId="3" numFmtId="164" xfId="0" applyAlignment="1" applyBorder="1" applyFont="1" applyNumberFormat="1">
      <alignment horizontal="left" readingOrder="0" vertical="center"/>
    </xf>
    <xf borderId="13" fillId="0" fontId="3" numFmtId="2" xfId="0" applyAlignment="1" applyBorder="1" applyFont="1" applyNumberFormat="1">
      <alignment horizontal="center" readingOrder="0" vertical="center"/>
    </xf>
    <xf borderId="18" fillId="0" fontId="3" numFmtId="2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/>
    </xf>
    <xf borderId="19" fillId="11" fontId="1" numFmtId="0" xfId="0" applyAlignment="1" applyBorder="1" applyFont="1">
      <alignment horizontal="center" vertical="center"/>
    </xf>
    <xf borderId="4" fillId="11" fontId="3" numFmtId="166" xfId="0" applyAlignment="1" applyBorder="1" applyFont="1" applyNumberFormat="1">
      <alignment vertical="center"/>
    </xf>
    <xf borderId="20" fillId="7" fontId="1" numFmtId="0" xfId="0" applyAlignment="1" applyBorder="1" applyFont="1">
      <alignment horizontal="center" vertical="center"/>
    </xf>
    <xf borderId="7" fillId="7" fontId="3" numFmtId="166" xfId="0" applyAlignment="1" applyBorder="1" applyFont="1" applyNumberFormat="1">
      <alignment vertical="center"/>
    </xf>
    <xf borderId="25" fillId="3" fontId="1" numFmtId="0" xfId="0" applyAlignment="1" applyBorder="1" applyFont="1">
      <alignment horizontal="center" vertical="center"/>
    </xf>
    <xf borderId="5" fillId="6" fontId="4" numFmtId="164" xfId="0" applyAlignment="1" applyBorder="1" applyFont="1" applyNumberFormat="1">
      <alignment vertical="center"/>
    </xf>
    <xf borderId="3" fillId="0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25" fillId="4" fontId="1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27" fillId="0" fontId="3" numFmtId="0" xfId="0" applyAlignment="1" applyBorder="1" applyFont="1">
      <alignment horizontal="center" vertical="center"/>
    </xf>
    <xf borderId="10" fillId="13" fontId="3" numFmtId="0" xfId="0" applyAlignment="1" applyBorder="1" applyFill="1" applyFont="1">
      <alignment horizontal="center" readingOrder="0" vertical="center"/>
    </xf>
    <xf borderId="10" fillId="13" fontId="3" numFmtId="0" xfId="0" applyAlignment="1" applyBorder="1" applyFont="1">
      <alignment horizontal="center" vertical="center"/>
    </xf>
    <xf borderId="0" fillId="0" fontId="5" numFmtId="0" xfId="0" applyFont="1"/>
    <xf borderId="1" fillId="3" fontId="1" numFmtId="0" xfId="0" applyAlignment="1" applyBorder="1" applyFont="1">
      <alignment horizontal="center" vertical="center"/>
    </xf>
    <xf borderId="19" fillId="7" fontId="1" numFmtId="0" xfId="0" applyAlignment="1" applyBorder="1" applyFont="1">
      <alignment horizontal="center" vertical="center"/>
    </xf>
    <xf borderId="4" fillId="7" fontId="4" numFmtId="164" xfId="0" applyAlignment="1" applyBorder="1" applyFont="1" applyNumberFormat="1">
      <alignment horizontal="center" vertical="center"/>
    </xf>
    <xf borderId="27" fillId="0" fontId="3" numFmtId="0" xfId="0" applyAlignment="1" applyBorder="1" applyFont="1">
      <alignment horizontal="center" readingOrder="0" vertical="center"/>
    </xf>
    <xf borderId="27" fillId="0" fontId="3" numFmtId="2" xfId="0" applyAlignment="1" applyBorder="1" applyFont="1" applyNumberFormat="1">
      <alignment horizontal="center" readingOrder="0" vertical="center"/>
    </xf>
    <xf borderId="23" fillId="14" fontId="3" numFmtId="2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23" fillId="0" fontId="3" numFmtId="164" xfId="0" applyAlignment="1" applyBorder="1" applyFont="1" applyNumberFormat="1">
      <alignment horizontal="center" readingOrder="0" vertical="center"/>
    </xf>
    <xf borderId="5" fillId="8" fontId="3" numFmtId="164" xfId="0" applyAlignment="1" applyBorder="1" applyFont="1" applyNumberFormat="1">
      <alignment horizontal="center" vertical="center"/>
    </xf>
    <xf borderId="9" fillId="8" fontId="3" numFmtId="16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/>
    </xf>
    <xf borderId="5" fillId="7" fontId="4" numFmtId="164" xfId="0" applyAlignment="1" applyBorder="1" applyFont="1" applyNumberFormat="1">
      <alignment horizontal="center" vertical="center"/>
    </xf>
    <xf borderId="28" fillId="3" fontId="5" numFmtId="0" xfId="0" applyAlignment="1" applyBorder="1" applyFont="1">
      <alignment horizontal="center"/>
    </xf>
    <xf borderId="29" fillId="0" fontId="2" numFmtId="0" xfId="0" applyBorder="1" applyFont="1"/>
    <xf borderId="14" fillId="8" fontId="1" numFmtId="0" xfId="0" applyAlignment="1" applyBorder="1" applyFont="1">
      <alignment horizontal="center" vertical="center"/>
    </xf>
    <xf borderId="7" fillId="8" fontId="3" numFmtId="164" xfId="0" applyAlignment="1" applyBorder="1" applyFont="1" applyNumberFormat="1">
      <alignment horizontal="center" readingOrder="0" vertical="center"/>
    </xf>
    <xf borderId="30" fillId="8" fontId="3" numFmtId="164" xfId="0" applyAlignment="1" applyBorder="1" applyFont="1" applyNumberFormat="1">
      <alignment horizontal="center" vertical="center"/>
    </xf>
    <xf borderId="10" fillId="8" fontId="3" numFmtId="10" xfId="0" applyAlignment="1" applyBorder="1" applyFont="1" applyNumberFormat="1">
      <alignment horizontal="center" vertical="center"/>
    </xf>
    <xf borderId="10" fillId="8" fontId="3" numFmtId="9" xfId="0" applyAlignment="1" applyBorder="1" applyFont="1" applyNumberFormat="1">
      <alignment horizontal="center" readingOrder="0" vertical="center"/>
    </xf>
    <xf borderId="5" fillId="6" fontId="1" numFmtId="0" xfId="0" applyAlignment="1" applyBorder="1" applyFont="1">
      <alignment horizontal="center" vertical="center"/>
    </xf>
    <xf borderId="5" fillId="6" fontId="6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5" width="15.71"/>
    <col customWidth="1" min="6" max="6" width="5.71"/>
    <col customWidth="1" min="7" max="8" width="10.71"/>
    <col customWidth="1" min="9" max="10" width="5.71"/>
    <col customWidth="1" min="11" max="26" width="20.71"/>
  </cols>
  <sheetData>
    <row r="1" ht="15.0" customHeight="1">
      <c r="B1" s="1" t="s">
        <v>0</v>
      </c>
      <c r="C1" s="2"/>
      <c r="D1" s="2"/>
      <c r="E1" s="3"/>
    </row>
    <row r="2" ht="15.0" customHeight="1">
      <c r="B2" s="4" t="s">
        <v>1</v>
      </c>
      <c r="C2" s="2"/>
      <c r="D2" s="2"/>
      <c r="E2" s="3"/>
    </row>
    <row r="3" ht="15.0" customHeight="1">
      <c r="B3" s="5" t="s">
        <v>2</v>
      </c>
      <c r="C3" s="5" t="s">
        <v>3</v>
      </c>
      <c r="D3" s="5" t="s">
        <v>4</v>
      </c>
      <c r="E3" s="6" t="s">
        <v>5</v>
      </c>
    </row>
    <row r="4" ht="15.0" customHeight="1">
      <c r="B4" s="7">
        <v>2025.0</v>
      </c>
      <c r="C4" s="8">
        <f>(0.59+0.59+0.59+0.65)/4</f>
        <v>0.605</v>
      </c>
      <c r="D4" s="8">
        <f t="shared" ref="D4:D13" si="1">C4*4</f>
        <v>2.42</v>
      </c>
      <c r="E4" s="9">
        <f t="shared" ref="E4:E12" si="2">1+((D4-D5)/D5)</f>
        <v>1.115207373</v>
      </c>
    </row>
    <row r="5" ht="15.0" customHeight="1">
      <c r="B5" s="7">
        <v>2024.0</v>
      </c>
      <c r="C5" s="8">
        <f>(0.525+0.525+0.53+0.59)/4</f>
        <v>0.5425</v>
      </c>
      <c r="D5" s="8">
        <f t="shared" si="1"/>
        <v>2.17</v>
      </c>
      <c r="E5" s="9">
        <f t="shared" si="2"/>
        <v>1.139107612</v>
      </c>
    </row>
    <row r="6" ht="15.0" customHeight="1">
      <c r="B6" s="7">
        <v>2023.0</v>
      </c>
      <c r="C6" s="8">
        <f>(0.46+0.46+0.46+0.525)/4</f>
        <v>0.47625</v>
      </c>
      <c r="D6" s="8">
        <f t="shared" si="1"/>
        <v>1.905</v>
      </c>
      <c r="E6" s="9">
        <f t="shared" si="2"/>
        <v>1.127218935</v>
      </c>
    </row>
    <row r="7" ht="15.0" customHeight="1">
      <c r="B7" s="7">
        <v>2022.0</v>
      </c>
      <c r="C7" s="8">
        <f>(0.41+0.41+0.41+0.46)/4</f>
        <v>0.4225</v>
      </c>
      <c r="D7" s="8">
        <f t="shared" si="1"/>
        <v>1.69</v>
      </c>
      <c r="E7" s="9">
        <f t="shared" si="2"/>
        <v>1.134228188</v>
      </c>
    </row>
    <row r="8" ht="15.0" customHeight="1">
      <c r="B8" s="7">
        <v>2021.0</v>
      </c>
      <c r="C8" s="8">
        <f>(0.36+0.36+0.36+0.41)/4</f>
        <v>0.3725</v>
      </c>
      <c r="D8" s="8">
        <f t="shared" si="1"/>
        <v>1.49</v>
      </c>
      <c r="E8" s="9">
        <f t="shared" si="2"/>
        <v>1.116104869</v>
      </c>
    </row>
    <row r="9" ht="15.0" customHeight="1">
      <c r="B9" s="7">
        <v>2020.0</v>
      </c>
      <c r="C9" s="8">
        <f>(0.325+0.325+0.325+0.36)/4</f>
        <v>0.33375</v>
      </c>
      <c r="D9" s="8">
        <f t="shared" si="1"/>
        <v>1.335</v>
      </c>
      <c r="E9" s="9">
        <f t="shared" si="2"/>
        <v>1.191964286</v>
      </c>
    </row>
    <row r="10" ht="15.0" customHeight="1">
      <c r="B10" s="7">
        <v>2019.0</v>
      </c>
      <c r="C10" s="8">
        <f>(0.265+0.265+0.265+0.325)/4</f>
        <v>0.28</v>
      </c>
      <c r="D10" s="8">
        <f t="shared" si="1"/>
        <v>1.12</v>
      </c>
      <c r="E10" s="9">
        <f t="shared" si="2"/>
        <v>0.9824561404</v>
      </c>
    </row>
    <row r="11" ht="15.0" customHeight="1">
      <c r="B11" s="7">
        <v>2018.0</v>
      </c>
      <c r="C11" s="8">
        <f>(0.35+0.35+0.175+0.265)/4</f>
        <v>0.285</v>
      </c>
      <c r="D11" s="8">
        <f t="shared" si="1"/>
        <v>1.14</v>
      </c>
      <c r="E11" s="10">
        <f t="shared" si="2"/>
        <v>2.37006237</v>
      </c>
    </row>
    <row r="12" ht="15.0" customHeight="1">
      <c r="B12" s="7">
        <v>2017.0</v>
      </c>
      <c r="C12" s="8">
        <f>(0.102+0.102+0.102+0.175)/4</f>
        <v>0.12025</v>
      </c>
      <c r="D12" s="8">
        <f t="shared" si="1"/>
        <v>0.481</v>
      </c>
      <c r="E12" s="10">
        <f t="shared" si="2"/>
        <v>1.908730159</v>
      </c>
    </row>
    <row r="13" ht="15.0" customHeight="1">
      <c r="B13" s="7">
        <v>2016.0</v>
      </c>
      <c r="C13" s="8">
        <f>(0.049+0.05+0.051+0.102)/4</f>
        <v>0.063</v>
      </c>
      <c r="D13" s="8">
        <f t="shared" si="1"/>
        <v>0.252</v>
      </c>
      <c r="E13" s="11" t="s">
        <v>6</v>
      </c>
      <c r="G13" s="12" t="s">
        <v>7</v>
      </c>
      <c r="H13" s="2"/>
      <c r="I13" s="2"/>
      <c r="J13" s="3"/>
    </row>
    <row r="14" ht="4.5" customHeight="1">
      <c r="B14" s="13"/>
      <c r="C14" s="2"/>
      <c r="D14" s="2"/>
      <c r="E14" s="3"/>
    </row>
    <row r="15" ht="15.0" customHeight="1">
      <c r="B15" s="1" t="s">
        <v>8</v>
      </c>
      <c r="C15" s="3"/>
      <c r="D15" s="14">
        <f>-1+(GEOMEAN(E4:E10))</f>
        <v>0.1135289233</v>
      </c>
      <c r="E15" s="3"/>
      <c r="G15" s="15" t="s">
        <v>8</v>
      </c>
      <c r="H15" s="3"/>
      <c r="I15" s="14">
        <f>D15</f>
        <v>0.1135289233</v>
      </c>
      <c r="J15" s="3"/>
    </row>
    <row r="16" ht="15.0" customHeight="1">
      <c r="B16" s="1" t="s">
        <v>9</v>
      </c>
      <c r="C16" s="3"/>
      <c r="D16" s="16">
        <f>(D4*(1-D15)/D18)+D15</f>
        <v>0.1198758464</v>
      </c>
      <c r="E16" s="3"/>
      <c r="G16" s="15" t="s">
        <v>9</v>
      </c>
      <c r="H16" s="3"/>
      <c r="I16" s="16">
        <v>0.06947627574650397</v>
      </c>
      <c r="J16" s="3"/>
    </row>
    <row r="17" ht="4.5" customHeight="1">
      <c r="B17" s="13"/>
      <c r="C17" s="2"/>
      <c r="D17" s="2"/>
      <c r="E17" s="3"/>
      <c r="G17" s="17"/>
      <c r="H17" s="2"/>
      <c r="I17" s="2"/>
      <c r="J17" s="3"/>
    </row>
    <row r="18" ht="15.0" customHeight="1">
      <c r="B18" s="1" t="s">
        <v>10</v>
      </c>
      <c r="C18" s="3"/>
      <c r="D18" s="18">
        <v>338.0</v>
      </c>
      <c r="E18" s="3"/>
      <c r="G18" s="15" t="s">
        <v>10</v>
      </c>
      <c r="H18" s="3"/>
      <c r="I18" s="19">
        <v>67.54</v>
      </c>
      <c r="J18" s="3"/>
    </row>
    <row r="19" ht="24.75" customHeight="1">
      <c r="B19" s="20" t="s">
        <v>11</v>
      </c>
      <c r="C19" s="3"/>
      <c r="D19" s="21">
        <f>D4/(D16-D15)</f>
        <v>381.2871157</v>
      </c>
      <c r="E19" s="3"/>
      <c r="G19" s="20" t="s">
        <v>11</v>
      </c>
      <c r="H19" s="3"/>
      <c r="I19" s="22">
        <f>D4/(I16-I15)</f>
        <v>-54.93426916</v>
      </c>
      <c r="J19" s="3"/>
    </row>
    <row r="20" ht="15.0" customHeight="1">
      <c r="B20" s="1" t="s">
        <v>12</v>
      </c>
      <c r="C20" s="3"/>
      <c r="D20" s="23" t="str">
        <f>IF(D19&gt;D18, "Undervalued", "Overvalued")</f>
        <v>Undervalued</v>
      </c>
      <c r="E20" s="3"/>
      <c r="G20" s="15" t="s">
        <v>12</v>
      </c>
      <c r="H20" s="3"/>
      <c r="I20" s="23" t="str">
        <f>IF(I19&gt;I18, "Undervalued", "Overvalued")</f>
        <v>Overvalued</v>
      </c>
      <c r="J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E1"/>
    <mergeCell ref="B2:E2"/>
    <mergeCell ref="G13:J13"/>
    <mergeCell ref="B14:E14"/>
    <mergeCell ref="D15:E15"/>
    <mergeCell ref="G15:H15"/>
    <mergeCell ref="I15:J15"/>
    <mergeCell ref="B15:C15"/>
    <mergeCell ref="B16:C16"/>
    <mergeCell ref="D16:E16"/>
    <mergeCell ref="G16:H16"/>
    <mergeCell ref="I16:J16"/>
    <mergeCell ref="B17:E17"/>
    <mergeCell ref="G17:J17"/>
    <mergeCell ref="B19:C19"/>
    <mergeCell ref="B20:C20"/>
    <mergeCell ref="D20:E20"/>
    <mergeCell ref="G20:H20"/>
    <mergeCell ref="I20:J20"/>
    <mergeCell ref="B18:C18"/>
    <mergeCell ref="D18:E18"/>
    <mergeCell ref="G18:H18"/>
    <mergeCell ref="I18:J18"/>
    <mergeCell ref="D19:E19"/>
    <mergeCell ref="G19:H19"/>
    <mergeCell ref="I19:J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86"/>
    <col customWidth="1" min="3" max="12" width="15.71"/>
    <col customWidth="1" min="13" max="26" width="8.71"/>
  </cols>
  <sheetData>
    <row r="1" ht="14.25" customHeight="1">
      <c r="B1" s="1" t="s">
        <v>13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4.25" customHeight="1"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ht="14.25" customHeight="1">
      <c r="B3" s="24" t="s">
        <v>2</v>
      </c>
      <c r="C3" s="25">
        <v>2015.0</v>
      </c>
      <c r="D3" s="25">
        <v>2016.0</v>
      </c>
      <c r="E3" s="25">
        <v>2017.0</v>
      </c>
      <c r="F3" s="25">
        <v>2018.0</v>
      </c>
      <c r="G3" s="25">
        <v>2019.0</v>
      </c>
      <c r="H3" s="25">
        <v>2020.0</v>
      </c>
      <c r="I3" s="25">
        <v>2021.0</v>
      </c>
      <c r="J3" s="25">
        <v>2022.0</v>
      </c>
      <c r="K3" s="25">
        <v>2023.0</v>
      </c>
      <c r="L3" s="26">
        <v>2024.0</v>
      </c>
    </row>
    <row r="4" ht="14.25" customHeight="1">
      <c r="B4" s="27" t="s">
        <v>14</v>
      </c>
      <c r="C4" s="28">
        <v>1835.0</v>
      </c>
      <c r="D4" s="28">
        <v>2693.0</v>
      </c>
      <c r="E4" s="28">
        <v>5923.0</v>
      </c>
      <c r="F4" s="28">
        <v>8484.0</v>
      </c>
      <c r="G4" s="28">
        <v>9353.0</v>
      </c>
      <c r="H4" s="28">
        <v>11598.0</v>
      </c>
      <c r="I4" s="28">
        <v>13321.0</v>
      </c>
      <c r="J4" s="28">
        <v>16312.0</v>
      </c>
      <c r="K4" s="28">
        <v>17633.0</v>
      </c>
      <c r="L4" s="29">
        <v>19414.0</v>
      </c>
    </row>
    <row r="5" ht="14.25" customHeight="1">
      <c r="B5" s="5" t="s">
        <v>5</v>
      </c>
      <c r="C5" s="30" t="s">
        <v>6</v>
      </c>
      <c r="D5" s="31">
        <f t="shared" ref="D5:L5" si="1">(D4-C4)/C4</f>
        <v>0.4675749319</v>
      </c>
      <c r="E5" s="31">
        <f t="shared" si="1"/>
        <v>1.199405867</v>
      </c>
      <c r="F5" s="31">
        <f t="shared" si="1"/>
        <v>0.4323822387</v>
      </c>
      <c r="G5" s="31">
        <f t="shared" si="1"/>
        <v>0.1024281</v>
      </c>
      <c r="H5" s="31">
        <f t="shared" si="1"/>
        <v>0.2400299369</v>
      </c>
      <c r="I5" s="31">
        <f t="shared" si="1"/>
        <v>0.1485600966</v>
      </c>
      <c r="J5" s="31">
        <f t="shared" si="1"/>
        <v>0.2245326927</v>
      </c>
      <c r="K5" s="31">
        <f t="shared" si="1"/>
        <v>0.08098332516</v>
      </c>
      <c r="L5" s="31">
        <f t="shared" si="1"/>
        <v>0.1010037997</v>
      </c>
    </row>
    <row r="6" ht="14.25" customHeight="1">
      <c r="B6" s="32" t="s">
        <v>15</v>
      </c>
      <c r="C6" s="33">
        <f>AVERAGE(D5:L5)</f>
        <v>0.3329889987</v>
      </c>
      <c r="D6" s="34"/>
      <c r="E6" s="34"/>
      <c r="F6" s="34"/>
      <c r="G6" s="34"/>
      <c r="H6" s="34"/>
      <c r="I6" s="34"/>
      <c r="J6" s="34"/>
      <c r="K6" s="34"/>
      <c r="L6" s="34"/>
    </row>
    <row r="7" ht="4.5" customHeight="1">
      <c r="B7" s="35"/>
      <c r="C7" s="2"/>
      <c r="D7" s="2"/>
      <c r="E7" s="2"/>
      <c r="F7" s="2"/>
      <c r="G7" s="2"/>
      <c r="H7" s="2"/>
      <c r="I7" s="2"/>
      <c r="J7" s="2"/>
      <c r="K7" s="2"/>
      <c r="L7" s="3"/>
    </row>
    <row r="8" ht="14.25" customHeight="1">
      <c r="B8" s="34"/>
      <c r="C8" s="36">
        <v>1.0</v>
      </c>
      <c r="D8" s="37">
        <v>2.0</v>
      </c>
      <c r="E8" s="37">
        <v>3.0</v>
      </c>
      <c r="F8" s="37">
        <v>4.0</v>
      </c>
      <c r="G8" s="37">
        <v>5.0</v>
      </c>
      <c r="H8" s="37">
        <v>6.0</v>
      </c>
      <c r="I8" s="37">
        <v>7.0</v>
      </c>
      <c r="J8" s="37">
        <v>8.0</v>
      </c>
      <c r="K8" s="37">
        <v>9.0</v>
      </c>
      <c r="L8" s="38">
        <v>10.0</v>
      </c>
    </row>
    <row r="9" ht="14.25" customHeight="1">
      <c r="B9" s="24" t="s">
        <v>2</v>
      </c>
      <c r="C9" s="25">
        <v>2026.0</v>
      </c>
      <c r="D9" s="25">
        <v>2027.0</v>
      </c>
      <c r="E9" s="25">
        <v>2028.0</v>
      </c>
      <c r="F9" s="25">
        <v>2029.0</v>
      </c>
      <c r="G9" s="25">
        <v>2030.0</v>
      </c>
      <c r="H9" s="25">
        <v>2031.0</v>
      </c>
      <c r="I9" s="25">
        <v>2032.0</v>
      </c>
      <c r="J9" s="25">
        <v>2033.0</v>
      </c>
      <c r="K9" s="25">
        <v>2034.0</v>
      </c>
      <c r="L9" s="26" t="s">
        <v>16</v>
      </c>
    </row>
    <row r="10" ht="14.25" customHeight="1">
      <c r="B10" s="27" t="s">
        <v>17</v>
      </c>
      <c r="C10" s="39">
        <f>L4*(1+C6)</f>
        <v>25878.64842</v>
      </c>
      <c r="D10" s="39">
        <f t="shared" ref="D10:K10" si="2">C10*(1+$C$6)</f>
        <v>34495.95365</v>
      </c>
      <c r="E10" s="39">
        <f t="shared" si="2"/>
        <v>45982.72671</v>
      </c>
      <c r="F10" s="39">
        <f t="shared" si="2"/>
        <v>61294.46884</v>
      </c>
      <c r="G10" s="39">
        <f t="shared" si="2"/>
        <v>81704.85265</v>
      </c>
      <c r="H10" s="39">
        <f t="shared" si="2"/>
        <v>108911.6697</v>
      </c>
      <c r="I10" s="39">
        <f t="shared" si="2"/>
        <v>145178.0576</v>
      </c>
      <c r="J10" s="39">
        <f t="shared" si="2"/>
        <v>193520.7536</v>
      </c>
      <c r="K10" s="39">
        <f t="shared" si="2"/>
        <v>257961.0356</v>
      </c>
      <c r="L10" s="40">
        <f>K10*(1+C12)/(C13-C12)</f>
        <v>4807455.663</v>
      </c>
    </row>
    <row r="11" ht="14.25" customHeight="1">
      <c r="B11" s="5" t="s">
        <v>18</v>
      </c>
      <c r="C11" s="41">
        <f t="shared" ref="C11:L11" si="3">C10/(1+$C$13)^C8</f>
        <v>23961.7115</v>
      </c>
      <c r="D11" s="42">
        <f t="shared" si="3"/>
        <v>29574.72021</v>
      </c>
      <c r="E11" s="42">
        <f t="shared" si="3"/>
        <v>36502.571</v>
      </c>
      <c r="F11" s="42">
        <f t="shared" si="3"/>
        <v>45053.26441</v>
      </c>
      <c r="G11" s="42">
        <f t="shared" si="3"/>
        <v>55606.94983</v>
      </c>
      <c r="H11" s="42">
        <f t="shared" si="3"/>
        <v>68632.82628</v>
      </c>
      <c r="I11" s="42">
        <f t="shared" si="3"/>
        <v>84710.0022</v>
      </c>
      <c r="J11" s="42">
        <f t="shared" si="3"/>
        <v>104553.2417</v>
      </c>
      <c r="K11" s="42">
        <f t="shared" si="3"/>
        <v>129044.7416</v>
      </c>
      <c r="L11" s="43">
        <f t="shared" si="3"/>
        <v>2226782.158</v>
      </c>
    </row>
    <row r="12" ht="14.25" customHeight="1">
      <c r="B12" s="44" t="s">
        <v>19</v>
      </c>
      <c r="C12" s="45">
        <v>0.025</v>
      </c>
      <c r="D12" s="34"/>
      <c r="E12" s="34"/>
      <c r="F12" s="34"/>
      <c r="G12" s="34"/>
      <c r="H12" s="34"/>
      <c r="I12" s="34"/>
      <c r="J12" s="34"/>
      <c r="K12" s="34"/>
      <c r="L12" s="34"/>
    </row>
    <row r="13" ht="14.25" customHeight="1">
      <c r="B13" s="46" t="s">
        <v>20</v>
      </c>
      <c r="C13" s="47">
        <v>0.08</v>
      </c>
      <c r="D13" s="34"/>
      <c r="E13" s="34"/>
      <c r="F13" s="34"/>
      <c r="G13" s="34"/>
      <c r="H13" s="34"/>
      <c r="I13" s="34"/>
      <c r="J13" s="34"/>
      <c r="K13" s="34"/>
      <c r="L13" s="34"/>
    </row>
    <row r="14" ht="4.5" customHeight="1">
      <c r="B14" s="35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ht="14.25" customHeight="1">
      <c r="B15" s="27" t="s">
        <v>21</v>
      </c>
      <c r="C15" s="48">
        <f>SUM(C11:L11)</f>
        <v>2804422.186</v>
      </c>
      <c r="D15" s="34"/>
      <c r="E15" s="34"/>
      <c r="F15" s="34"/>
      <c r="G15" s="34"/>
      <c r="H15" s="34"/>
      <c r="I15" s="34"/>
      <c r="J15" s="34"/>
      <c r="K15" s="34"/>
      <c r="L15" s="34"/>
    </row>
    <row r="16" ht="14.25" customHeight="1">
      <c r="B16" s="27" t="s">
        <v>22</v>
      </c>
      <c r="C16" s="49">
        <v>16178.0</v>
      </c>
      <c r="D16" s="34"/>
      <c r="E16" s="34"/>
      <c r="F16" s="34"/>
      <c r="G16" s="34"/>
      <c r="H16" s="34"/>
      <c r="I16" s="34"/>
      <c r="J16" s="34"/>
      <c r="K16" s="34"/>
      <c r="L16" s="34"/>
    </row>
    <row r="17" ht="14.25" customHeight="1">
      <c r="B17" s="27" t="s">
        <v>23</v>
      </c>
      <c r="C17" s="49">
        <v>65136.0</v>
      </c>
      <c r="D17" s="34"/>
      <c r="E17" s="34"/>
      <c r="F17" s="34"/>
      <c r="G17" s="34"/>
      <c r="H17" s="34"/>
      <c r="I17" s="34"/>
      <c r="J17" s="34"/>
      <c r="K17" s="34"/>
      <c r="L17" s="34"/>
    </row>
    <row r="18" ht="14.25" customHeight="1">
      <c r="B18" s="24" t="s">
        <v>24</v>
      </c>
      <c r="C18" s="50">
        <f>C15+C16-C17</f>
        <v>2755464.186</v>
      </c>
      <c r="D18" s="34"/>
      <c r="E18" s="34"/>
      <c r="F18" s="34"/>
      <c r="G18" s="34"/>
      <c r="H18" s="34"/>
      <c r="I18" s="34"/>
      <c r="J18" s="34"/>
      <c r="K18" s="34"/>
      <c r="L18" s="34"/>
    </row>
    <row r="19" ht="14.25" customHeight="1">
      <c r="B19" s="5" t="s">
        <v>25</v>
      </c>
      <c r="C19" s="51">
        <v>4740.0</v>
      </c>
      <c r="D19" s="34"/>
      <c r="E19" s="34"/>
      <c r="F19" s="34"/>
      <c r="G19" s="34"/>
      <c r="H19" s="34"/>
      <c r="I19" s="34"/>
      <c r="J19" s="34"/>
      <c r="K19" s="34"/>
      <c r="L19" s="34"/>
    </row>
    <row r="20" ht="14.25" customHeight="1">
      <c r="B20" s="52" t="s">
        <v>26</v>
      </c>
      <c r="C20" s="53">
        <v>0.0</v>
      </c>
      <c r="D20" s="34"/>
      <c r="E20" s="34"/>
      <c r="F20" s="34"/>
      <c r="G20" s="34"/>
      <c r="H20" s="34"/>
      <c r="I20" s="34"/>
      <c r="J20" s="34"/>
      <c r="K20" s="34"/>
      <c r="L20" s="34"/>
    </row>
    <row r="21" ht="30.0" customHeight="1">
      <c r="B21" s="54" t="s">
        <v>27</v>
      </c>
      <c r="C21" s="55">
        <f>(C18/C19)*(1-C20)</f>
        <v>581.3215583</v>
      </c>
      <c r="D21" s="34"/>
      <c r="E21" s="34"/>
      <c r="F21" s="34"/>
      <c r="G21" s="34"/>
      <c r="H21" s="34"/>
      <c r="I21" s="34"/>
      <c r="J21" s="34"/>
      <c r="K21" s="34"/>
      <c r="L21" s="34"/>
    </row>
    <row r="22" ht="4.5" customHeight="1">
      <c r="B22" s="35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ht="14.25" customHeight="1">
      <c r="B23" s="56" t="s">
        <v>10</v>
      </c>
      <c r="C23" s="57">
        <v>339.0</v>
      </c>
      <c r="D23" s="34"/>
      <c r="E23" s="34"/>
      <c r="F23" s="34"/>
      <c r="G23" s="34"/>
      <c r="H23" s="34"/>
      <c r="I23" s="34"/>
      <c r="J23" s="34"/>
      <c r="K23" s="34"/>
      <c r="L23" s="34"/>
    </row>
    <row r="24" ht="14.25" customHeight="1">
      <c r="B24" s="58" t="s">
        <v>28</v>
      </c>
      <c r="C24" s="59">
        <f>(C21-C23)/C23</f>
        <v>0.7148128563</v>
      </c>
      <c r="D24" s="34"/>
      <c r="E24" s="34"/>
      <c r="F24" s="34"/>
      <c r="G24" s="34"/>
      <c r="H24" s="34"/>
      <c r="I24" s="34"/>
      <c r="J24" s="34"/>
      <c r="K24" s="34"/>
      <c r="L24" s="34"/>
    </row>
    <row r="25" ht="14.25" customHeight="1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L1"/>
    <mergeCell ref="B2:L2"/>
    <mergeCell ref="B7:L7"/>
    <mergeCell ref="B14:L14"/>
    <mergeCell ref="B22:L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5.71"/>
    <col customWidth="1" min="3" max="3" width="34.43"/>
    <col customWidth="1" min="4" max="12" width="15.71"/>
    <col customWidth="1" min="13" max="26" width="8.71"/>
  </cols>
  <sheetData>
    <row r="1" ht="14.25" customHeight="1">
      <c r="B1" s="1" t="s">
        <v>29</v>
      </c>
      <c r="C1" s="2"/>
      <c r="D1" s="2"/>
      <c r="E1" s="2"/>
      <c r="F1" s="3"/>
      <c r="G1" s="60"/>
      <c r="H1" s="60"/>
      <c r="I1" s="60"/>
      <c r="J1" s="60"/>
      <c r="K1" s="60"/>
      <c r="L1" s="60"/>
    </row>
    <row r="2" ht="14.25" customHeight="1">
      <c r="B2" s="4" t="s">
        <v>1</v>
      </c>
      <c r="C2" s="2"/>
      <c r="D2" s="2"/>
      <c r="E2" s="2"/>
      <c r="F2" s="3"/>
      <c r="G2" s="60"/>
      <c r="H2" s="60"/>
      <c r="I2" s="60"/>
      <c r="J2" s="60"/>
      <c r="K2" s="60"/>
      <c r="L2" s="60"/>
    </row>
    <row r="3" ht="14.25" customHeight="1">
      <c r="B3" s="61" t="s">
        <v>30</v>
      </c>
      <c r="C3" s="62" t="s">
        <v>31</v>
      </c>
      <c r="D3" s="62" t="s">
        <v>32</v>
      </c>
      <c r="E3" s="62" t="s">
        <v>33</v>
      </c>
      <c r="F3" s="63" t="s">
        <v>34</v>
      </c>
    </row>
    <row r="4" ht="14.25" customHeight="1">
      <c r="B4" s="64" t="s">
        <v>35</v>
      </c>
      <c r="C4" s="65" t="s">
        <v>36</v>
      </c>
      <c r="D4" s="66">
        <v>182.0</v>
      </c>
      <c r="E4" s="67">
        <v>4.06</v>
      </c>
      <c r="F4" s="68">
        <f t="shared" ref="F4:F7" si="1">D4/E4</f>
        <v>44.82758621</v>
      </c>
    </row>
    <row r="5" ht="14.25" customHeight="1">
      <c r="B5" s="69" t="s">
        <v>37</v>
      </c>
      <c r="C5" s="70" t="s">
        <v>38</v>
      </c>
      <c r="D5" s="71">
        <v>222.0</v>
      </c>
      <c r="E5" s="72">
        <v>2.03</v>
      </c>
      <c r="F5" s="73">
        <f t="shared" si="1"/>
        <v>109.3596059</v>
      </c>
    </row>
    <row r="6" ht="14.25" customHeight="1">
      <c r="B6" s="69" t="s">
        <v>39</v>
      </c>
      <c r="C6" s="70" t="s">
        <v>40</v>
      </c>
      <c r="D6" s="71">
        <v>163.0</v>
      </c>
      <c r="E6" s="72">
        <v>5.05</v>
      </c>
      <c r="F6" s="73">
        <f t="shared" si="1"/>
        <v>32.27722772</v>
      </c>
    </row>
    <row r="7" ht="14.25" customHeight="1">
      <c r="B7" s="74" t="s">
        <v>41</v>
      </c>
      <c r="C7" s="75" t="s">
        <v>42</v>
      </c>
      <c r="D7" s="76">
        <v>325.49</v>
      </c>
      <c r="E7" s="77">
        <v>9.61</v>
      </c>
      <c r="F7" s="78">
        <f t="shared" si="1"/>
        <v>33.86992716</v>
      </c>
    </row>
    <row r="8" ht="4.5" customHeight="1">
      <c r="B8" s="79"/>
      <c r="C8" s="2"/>
      <c r="D8" s="2"/>
      <c r="E8" s="2"/>
      <c r="F8" s="3"/>
    </row>
    <row r="9" ht="14.25" customHeight="1">
      <c r="B9" s="80" t="s">
        <v>43</v>
      </c>
      <c r="C9" s="81">
        <f>AVERAGE(F4:F7)</f>
        <v>55.08358675</v>
      </c>
    </row>
    <row r="10" ht="14.25" customHeight="1">
      <c r="B10" s="82" t="s">
        <v>44</v>
      </c>
      <c r="C10" s="83">
        <f>MEDIAN(F4:F7)</f>
        <v>39.34875668</v>
      </c>
    </row>
    <row r="11" ht="4.5" customHeight="1">
      <c r="B11" s="79"/>
      <c r="C11" s="2"/>
      <c r="D11" s="2"/>
      <c r="E11" s="2"/>
      <c r="F11" s="3"/>
    </row>
    <row r="12" ht="14.25" customHeight="1">
      <c r="B12" s="5" t="s">
        <v>30</v>
      </c>
      <c r="C12" s="5" t="s">
        <v>32</v>
      </c>
      <c r="D12" s="5" t="s">
        <v>45</v>
      </c>
    </row>
    <row r="13" ht="24.75" customHeight="1">
      <c r="B13" s="84" t="s">
        <v>46</v>
      </c>
      <c r="C13" s="85">
        <f>C9*D13</f>
        <v>375.6700616</v>
      </c>
      <c r="D13" s="86">
        <v>6.82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F1"/>
    <mergeCell ref="B2:F2"/>
    <mergeCell ref="B8:F8"/>
    <mergeCell ref="B11:F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5.71"/>
    <col customWidth="1" min="3" max="3" width="25.71"/>
    <col customWidth="1" min="4" max="6" width="10.71"/>
    <col customWidth="1" min="7" max="26" width="8.71"/>
  </cols>
  <sheetData>
    <row r="1" ht="14.25" customHeight="1">
      <c r="B1" s="1" t="s">
        <v>47</v>
      </c>
      <c r="C1" s="2"/>
      <c r="D1" s="87"/>
      <c r="E1" s="87"/>
      <c r="F1" s="87"/>
    </row>
    <row r="2" ht="14.25" customHeight="1">
      <c r="B2" s="4" t="s">
        <v>1</v>
      </c>
      <c r="C2" s="3"/>
      <c r="D2" s="87"/>
      <c r="E2" s="87"/>
      <c r="F2" s="87"/>
    </row>
    <row r="3" ht="14.25" customHeight="1">
      <c r="B3" s="88" t="s">
        <v>30</v>
      </c>
      <c r="C3" s="89" t="s">
        <v>48</v>
      </c>
    </row>
    <row r="4" ht="14.25" customHeight="1">
      <c r="B4" s="13" t="s">
        <v>45</v>
      </c>
      <c r="C4" s="90">
        <v>6.82</v>
      </c>
    </row>
    <row r="5" ht="14.25" customHeight="1">
      <c r="B5" s="88" t="s">
        <v>49</v>
      </c>
      <c r="C5" s="91">
        <v>7.0</v>
      </c>
    </row>
    <row r="6" ht="14.25" customHeight="1">
      <c r="B6" s="88" t="s">
        <v>50</v>
      </c>
      <c r="C6" s="92">
        <v>40.0</v>
      </c>
    </row>
    <row r="7" ht="14.25" customHeight="1">
      <c r="B7" s="88" t="s">
        <v>51</v>
      </c>
      <c r="C7" s="91">
        <v>1.5</v>
      </c>
    </row>
    <row r="8" ht="14.25" customHeight="1">
      <c r="B8" s="88" t="s">
        <v>52</v>
      </c>
      <c r="C8" s="91">
        <v>4.4</v>
      </c>
    </row>
    <row r="9" ht="14.25" customHeight="1">
      <c r="B9" s="61" t="s">
        <v>53</v>
      </c>
      <c r="C9" s="93">
        <v>5.31</v>
      </c>
    </row>
    <row r="10" ht="4.5" customHeight="1">
      <c r="A10" s="94"/>
      <c r="B10" s="95"/>
      <c r="C10" s="3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24.75" customHeight="1">
      <c r="B11" s="96" t="s">
        <v>54</v>
      </c>
      <c r="C11" s="97">
        <f>(C4*(C5+(C7*C6))*C8/C9)</f>
        <v>378.6320151</v>
      </c>
    </row>
    <row r="12" ht="4.5" customHeight="1">
      <c r="B12" s="95"/>
      <c r="C12" s="3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C1"/>
    <mergeCell ref="B2:C2"/>
    <mergeCell ref="B10:C10"/>
    <mergeCell ref="B12:C1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5.71"/>
    <col customWidth="1" min="3" max="3" width="25.71"/>
    <col customWidth="1" min="4" max="6" width="10.71"/>
    <col customWidth="1" min="7" max="26" width="8.71"/>
  </cols>
  <sheetData>
    <row r="1" ht="14.25" customHeight="1">
      <c r="B1" s="1" t="s">
        <v>55</v>
      </c>
      <c r="C1" s="3"/>
      <c r="D1" s="87"/>
      <c r="E1" s="87"/>
      <c r="F1" s="87"/>
    </row>
    <row r="2" ht="14.25" customHeight="1">
      <c r="B2" s="4" t="s">
        <v>1</v>
      </c>
      <c r="C2" s="3"/>
      <c r="D2" s="87"/>
      <c r="E2" s="87"/>
      <c r="F2" s="87"/>
    </row>
    <row r="3" ht="14.25" customHeight="1">
      <c r="B3" s="88" t="s">
        <v>30</v>
      </c>
      <c r="C3" s="89" t="s">
        <v>48</v>
      </c>
    </row>
    <row r="4" ht="14.25" customHeight="1">
      <c r="B4" s="88" t="s">
        <v>45</v>
      </c>
      <c r="C4" s="98">
        <v>6.82</v>
      </c>
    </row>
    <row r="5" ht="14.25" customHeight="1">
      <c r="B5" s="88" t="s">
        <v>56</v>
      </c>
      <c r="C5" s="98">
        <v>35.0</v>
      </c>
    </row>
    <row r="6" ht="14.25" customHeight="1">
      <c r="B6" s="88" t="s">
        <v>57</v>
      </c>
      <c r="C6" s="99">
        <v>0.99</v>
      </c>
    </row>
    <row r="7" ht="14.25" customHeight="1">
      <c r="B7" s="88" t="s">
        <v>58</v>
      </c>
      <c r="C7" s="98">
        <v>40.0</v>
      </c>
    </row>
    <row r="8" ht="14.25" customHeight="1">
      <c r="B8" s="6" t="s">
        <v>59</v>
      </c>
      <c r="C8" s="100">
        <f>(1+((7.23/5.23)/5.23)^1/10-1)*100</f>
        <v>2.643229786</v>
      </c>
      <c r="D8" s="101" t="s">
        <v>6</v>
      </c>
    </row>
    <row r="9" ht="14.25" customHeight="1">
      <c r="B9" s="6" t="s">
        <v>10</v>
      </c>
      <c r="C9" s="102">
        <v>338.0</v>
      </c>
    </row>
    <row r="10" ht="4.5" customHeight="1">
      <c r="A10" s="94"/>
      <c r="B10" s="95"/>
      <c r="C10" s="3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24.75" customHeight="1">
      <c r="B11" s="96" t="s">
        <v>60</v>
      </c>
      <c r="C11" s="97">
        <f>C6*C7*C4</f>
        <v>270.072</v>
      </c>
    </row>
    <row r="12" ht="4.5" customHeight="1">
      <c r="B12" s="95"/>
      <c r="C12" s="3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B1:C1"/>
    <mergeCell ref="B2:C2"/>
    <mergeCell ref="B10:C10"/>
    <mergeCell ref="B12:C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0.71"/>
    <col customWidth="1" min="4" max="26" width="8.71"/>
  </cols>
  <sheetData>
    <row r="1" ht="14.25" customHeight="1">
      <c r="B1" s="1" t="s">
        <v>61</v>
      </c>
      <c r="C1" s="3"/>
      <c r="D1" s="87"/>
      <c r="E1" s="87"/>
      <c r="F1" s="87"/>
    </row>
    <row r="2" ht="14.25" customHeight="1">
      <c r="B2" s="4" t="s">
        <v>1</v>
      </c>
      <c r="C2" s="3"/>
      <c r="D2" s="94"/>
      <c r="E2" s="94"/>
      <c r="F2" s="94"/>
    </row>
    <row r="3" ht="19.5" customHeight="1">
      <c r="B3" s="6" t="s">
        <v>62</v>
      </c>
      <c r="C3" s="103">
        <f>DDM!D19</f>
        <v>381.2871157</v>
      </c>
    </row>
    <row r="4" ht="19.5" customHeight="1">
      <c r="B4" s="6" t="s">
        <v>63</v>
      </c>
      <c r="C4" s="103">
        <f>DCF!C21</f>
        <v>581.3215583</v>
      </c>
    </row>
    <row r="5" ht="19.5" customHeight="1">
      <c r="B5" s="6" t="s">
        <v>64</v>
      </c>
      <c r="C5" s="103">
        <f>Multiples!C13</f>
        <v>375.6700616</v>
      </c>
    </row>
    <row r="6" ht="19.5" customHeight="1">
      <c r="B6" s="6" t="s">
        <v>65</v>
      </c>
      <c r="C6" s="103">
        <f>'Grahams Revised'!C11</f>
        <v>378.6320151</v>
      </c>
    </row>
    <row r="7" ht="19.5" customHeight="1">
      <c r="B7" s="6" t="s">
        <v>55</v>
      </c>
      <c r="C7" s="104">
        <f>'Peter Lynchs Adapted FV'!C11</f>
        <v>270.072</v>
      </c>
    </row>
    <row r="8" ht="4.5" customHeight="1">
      <c r="B8" s="105"/>
      <c r="C8" s="3"/>
    </row>
    <row r="9" ht="30.0" customHeight="1">
      <c r="B9" s="96" t="s">
        <v>66</v>
      </c>
      <c r="C9" s="106">
        <f>AVERAGE(C3:C7)</f>
        <v>397.3965501</v>
      </c>
    </row>
    <row r="10" ht="4.5" customHeight="1">
      <c r="B10" s="107"/>
      <c r="C10" s="108"/>
    </row>
    <row r="11" ht="14.25" customHeight="1">
      <c r="B11" s="109" t="s">
        <v>10</v>
      </c>
      <c r="C11" s="110">
        <v>338.5</v>
      </c>
    </row>
    <row r="12" ht="14.25" customHeight="1">
      <c r="B12" s="109" t="s">
        <v>12</v>
      </c>
      <c r="C12" s="111" t="str">
        <f>IF(C9&gt;C11, "Undervalued", "Overvalued")</f>
        <v>Undervalued</v>
      </c>
    </row>
    <row r="13" ht="14.25" customHeight="1">
      <c r="B13" s="109" t="s">
        <v>28</v>
      </c>
      <c r="C13" s="112">
        <f>(C11/C9)-1</f>
        <v>-0.1482059925</v>
      </c>
    </row>
    <row r="14" ht="14.25" customHeight="1">
      <c r="B14" s="109" t="s">
        <v>67</v>
      </c>
      <c r="C14" s="113">
        <v>0.1</v>
      </c>
    </row>
    <row r="15" ht="24.75" customHeight="1">
      <c r="B15" s="114" t="s">
        <v>68</v>
      </c>
      <c r="C15" s="115">
        <f>(1-C14)*C9</f>
        <v>357.6568951</v>
      </c>
    </row>
    <row r="16" ht="4.5" customHeight="1">
      <c r="B16" s="105"/>
      <c r="C16" s="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B1:C1"/>
    <mergeCell ref="B2:C2"/>
    <mergeCell ref="B8:C8"/>
    <mergeCell ref="B10:C10"/>
    <mergeCell ref="B16:C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2025-10-15T23:23:33Z</dcterms:created>
  <dc:creator>Luis</dc:creator>
</cp:coreProperties>
</file>