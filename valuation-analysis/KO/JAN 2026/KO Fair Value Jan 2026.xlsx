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M" sheetId="1" r:id="rId4"/>
    <sheet state="visible" name="DCF" sheetId="2" r:id="rId5"/>
    <sheet state="visible" name="Multiples" sheetId="3" r:id="rId6"/>
    <sheet state="visible" name="Grahams Revised" sheetId="4" r:id="rId7"/>
    <sheet state="visible" name="Peter Lynchs Adapted FV" sheetId="5" r:id="rId8"/>
    <sheet state="visible" name="Final Valuation Analysis" sheetId="6" r:id="rId9"/>
  </sheets>
  <definedNames>
    <definedName localSheetId="0" name="solver_cvg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0</definedName>
    <definedName localSheetId="0" name="solver_nwt">1</definedName>
    <definedName localSheetId="0" name="solver_pre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localSheetId="0" name="solver_rbv">1</definedName>
    <definedName localSheetId="0" name="solver_rel0">3</definedName>
    <definedName localSheetId="0" name="solver_rel1">3</definedName>
    <definedName localSheetId="0" name="solver_rel2">1</definedName>
    <definedName localSheetId="0" name="solver_rel3">3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3</definedName>
    <definedName localSheetId="0" name="solver_val">218.3</definedName>
    <definedName localSheetId="0" name="solver_ver">3</definedName>
    <definedName localSheetId="0" name="solver_lhs3">DDM!$B$13:$E$13</definedName>
    <definedName localSheetId="0" name="solver_rhs1">DDM!$B$8:$E$8</definedName>
    <definedName localSheetId="0" name="solver_opt">DDM!$I$19</definedName>
    <definedName localSheetId="0" name="solver_adj">DDM!$I$16</definedName>
    <definedName localSheetId="0" name="solver_lhs1">DDM!$B$13:$E$13</definedName>
    <definedName localSheetId="0" name="solver_rhs3">DDM!$B$8:$E$8</definedName>
    <definedName localSheetId="0" name="solver_rhs0">DDM!$B$8:$E$8</definedName>
    <definedName localSheetId="0" name="solver_lhs2">DDM!$B$13:$E$13</definedName>
    <definedName localSheetId="0" name="solver_rhs2">DDM!$B$9:$E$9</definedName>
    <definedName localSheetId="0" name="solver_lhs0">DDM!$B$13:$E$13</definedName>
  </definedNames>
  <calcPr/>
  <extLst>
    <ext uri="GoogleSheetsCustomDataVersion2">
      <go:sheetsCustomData xmlns:go="http://customooxmlschemas.google.com/" r:id="rId10" roundtripDataChecksum="u5gLt/ck8kkuSDsrzQe0tOMD3lzNiWmFo7OTClBNNNs="/>
    </ext>
  </extLst>
</workbook>
</file>

<file path=xl/sharedStrings.xml><?xml version="1.0" encoding="utf-8"?>
<sst xmlns="http://schemas.openxmlformats.org/spreadsheetml/2006/main" count="97" uniqueCount="68">
  <si>
    <t>Dividend Discount Model (DDM)</t>
  </si>
  <si>
    <t>Coca Cola Co (KO)</t>
  </si>
  <si>
    <t>Year</t>
  </si>
  <si>
    <t>Quartely Dividend</t>
  </si>
  <si>
    <t>Annual Dividend</t>
  </si>
  <si>
    <t>Growth</t>
  </si>
  <si>
    <t>N/A</t>
  </si>
  <si>
    <t>Required Return (R) Solver</t>
  </si>
  <si>
    <t>Dividend Growth (g)</t>
  </si>
  <si>
    <t>Required Return (r)</t>
  </si>
  <si>
    <t>Current Price</t>
  </si>
  <si>
    <t>DDM Price</t>
  </si>
  <si>
    <t>Overvalued or Undervalued</t>
  </si>
  <si>
    <t>Discounted Cash Flow Analysis Model</t>
  </si>
  <si>
    <t>Free Cash Flow</t>
  </si>
  <si>
    <t>Average Growth Rate:</t>
  </si>
  <si>
    <t>Terminal Value</t>
  </si>
  <si>
    <t>Future Free Cash Flows</t>
  </si>
  <si>
    <t>PV</t>
  </si>
  <si>
    <t>Perpetual Growth Rate:</t>
  </si>
  <si>
    <t>Discount Rate:</t>
  </si>
  <si>
    <t>Total FCF</t>
  </si>
  <si>
    <t>Cash + Equivalents</t>
  </si>
  <si>
    <t>Total Debt</t>
  </si>
  <si>
    <t>Equity Value</t>
  </si>
  <si>
    <t>Shares Outstanding</t>
  </si>
  <si>
    <t>Margin of Safety</t>
  </si>
  <si>
    <t>DCF Share Price</t>
  </si>
  <si>
    <t>Difference</t>
  </si>
  <si>
    <t>Multiples Valuation Model</t>
  </si>
  <si>
    <t>Ticker</t>
  </si>
  <si>
    <t>Company Name</t>
  </si>
  <si>
    <t>Stock Price</t>
  </si>
  <si>
    <t>EPS</t>
  </si>
  <si>
    <t>P/E Multiple</t>
  </si>
  <si>
    <t>PEP</t>
  </si>
  <si>
    <t>PepsiCo, Inc.</t>
  </si>
  <si>
    <t>KHC</t>
  </si>
  <si>
    <t>Kraft Heinz Co</t>
  </si>
  <si>
    <t>MNST</t>
  </si>
  <si>
    <t>Monster Beverage Corp</t>
  </si>
  <si>
    <t>KDP</t>
  </si>
  <si>
    <t>Keurig Dr Pepper Inc</t>
  </si>
  <si>
    <t>Average P/E</t>
  </si>
  <si>
    <t>Median P/E</t>
  </si>
  <si>
    <t>Forward EPS</t>
  </si>
  <si>
    <t>KO</t>
  </si>
  <si>
    <t>Benjamin Graham's Revised Valuation Model</t>
  </si>
  <si>
    <t>P/E Constant</t>
  </si>
  <si>
    <t>Est. EPS Growth Rate</t>
  </si>
  <si>
    <t>Growth Constant</t>
  </si>
  <si>
    <t>Average Yield of AAA Corp Bonds Constant</t>
  </si>
  <si>
    <t>Current Yield of AAA Corp Bonds</t>
  </si>
  <si>
    <t>Graham's Intrinsic Value</t>
  </si>
  <si>
    <t>Peter Lynch's Adapted FV</t>
  </si>
  <si>
    <t>Forward P/E</t>
  </si>
  <si>
    <t>PEG</t>
  </si>
  <si>
    <t>Projected EPS Growth Rate</t>
  </si>
  <si>
    <t>10y Avg EBITDA Growth Rate</t>
  </si>
  <si>
    <t>Fair Value</t>
  </si>
  <si>
    <t>Final Valuation Analysis</t>
  </si>
  <si>
    <t>DDM</t>
  </si>
  <si>
    <t>DCF</t>
  </si>
  <si>
    <t>Multiples</t>
  </si>
  <si>
    <t>Graham's Revised</t>
  </si>
  <si>
    <t>Average Fair Value</t>
  </si>
  <si>
    <t>MoS</t>
  </si>
  <si>
    <t>Limit Buy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</si>
</sst>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[$$-409]* #,##0.00_ ;_-[$$-409]* \-#,##0.00\ ;_-[$$-409]* &quot;-&quot;??_ ;_-@_ "/>
    <numFmt numFmtId="165" formatCode="0.000%"/>
    <numFmt numFmtId="166" formatCode="0.0000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/>
    <font>
      <sz val="9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AEABAB"/>
        <bgColor rgb="FFAEABAB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FF66"/>
        <bgColor rgb="FFFFFF66"/>
      </patternFill>
    </fill>
    <fill>
      <patternFill patternType="solid">
        <fgColor rgb="FFFF0000"/>
        <bgColor rgb="FFFF000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164" xfId="0" applyAlignment="1" applyBorder="1" applyFont="1" applyNumberFormat="1">
      <alignment horizontal="center" readingOrder="0" vertical="center"/>
    </xf>
    <xf borderId="6" fillId="0" fontId="3" numFmtId="164" xfId="0" applyAlignment="1" applyBorder="1" applyFont="1" applyNumberFormat="1">
      <alignment horizontal="center" vertical="center"/>
    </xf>
    <xf borderId="5" fillId="0" fontId="3" numFmtId="10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5" fillId="0" fontId="3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10" xfId="0" applyAlignment="1" applyBorder="1" applyFont="1" applyNumberFormat="1">
      <alignment horizontal="center" vertical="center"/>
    </xf>
    <xf borderId="1" fillId="4" fontId="1" numFmtId="9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5" fontId="1" numFmtId="0" xfId="0" applyAlignment="1" applyBorder="1" applyFill="1" applyFont="1">
      <alignment horizontal="center" vertical="center"/>
    </xf>
    <xf borderId="1" fillId="5" fontId="4" numFmtId="164" xfId="0" applyAlignment="1" applyBorder="1" applyFont="1" applyNumberForma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4" fontId="1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center" vertical="center"/>
    </xf>
    <xf borderId="14" fillId="0" fontId="3" numFmtId="164" xfId="0" applyAlignment="1" applyBorder="1" applyFont="1" applyNumberFormat="1">
      <alignment readingOrder="0" vertical="center"/>
    </xf>
    <xf borderId="15" fillId="0" fontId="3" numFmtId="164" xfId="0" applyAlignment="1" applyBorder="1" applyFont="1" applyNumberFormat="1">
      <alignment readingOrder="0" vertical="center"/>
    </xf>
    <xf borderId="0" fillId="0" fontId="3" numFmtId="164" xfId="0" applyAlignment="1" applyFont="1" applyNumberFormat="1">
      <alignment horizontal="center" vertical="center"/>
    </xf>
    <xf borderId="16" fillId="0" fontId="3" numFmtId="10" xfId="0" applyAlignment="1" applyBorder="1" applyFont="1" applyNumberFormat="1">
      <alignment horizontal="center" vertical="center"/>
    </xf>
    <xf borderId="17" fillId="6" fontId="1" numFmtId="0" xfId="0" applyAlignment="1" applyBorder="1" applyFill="1" applyFont="1">
      <alignment horizontal="center" vertical="center"/>
    </xf>
    <xf borderId="18" fillId="6" fontId="3" numFmtId="10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1" fillId="3" fontId="5" numFmtId="0" xfId="0" applyAlignment="1" applyBorder="1" applyFont="1">
      <alignment horizontal="center" vertical="center"/>
    </xf>
    <xf borderId="17" fillId="7" fontId="3" numFmtId="0" xfId="0" applyAlignment="1" applyBorder="1" applyFill="1" applyFont="1">
      <alignment horizontal="center" vertical="center"/>
    </xf>
    <xf borderId="19" fillId="7" fontId="3" numFmtId="0" xfId="0" applyAlignment="1" applyBorder="1" applyFont="1">
      <alignment horizontal="center" vertical="center"/>
    </xf>
    <xf borderId="20" fillId="7" fontId="3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vertical="center"/>
    </xf>
    <xf borderId="15" fillId="0" fontId="3" numFmtId="164" xfId="0" applyAlignment="1" applyBorder="1" applyFont="1" applyNumberFormat="1">
      <alignment vertical="center"/>
    </xf>
    <xf borderId="16" fillId="0" fontId="3" numFmtId="164" xfId="0" applyAlignment="1" applyBorder="1" applyFont="1" applyNumberFormat="1">
      <alignment horizontal="left" vertical="center"/>
    </xf>
    <xf borderId="16" fillId="0" fontId="3" numFmtId="164" xfId="0" applyAlignment="1" applyBorder="1" applyFont="1" applyNumberFormat="1">
      <alignment vertical="center"/>
    </xf>
    <xf borderId="21" fillId="0" fontId="3" numFmtId="164" xfId="0" applyAlignment="1" applyBorder="1" applyFont="1" applyNumberFormat="1">
      <alignment vertical="center"/>
    </xf>
    <xf borderId="22" fillId="8" fontId="1" numFmtId="0" xfId="0" applyAlignment="1" applyBorder="1" applyFill="1" applyFont="1">
      <alignment horizontal="center" vertical="center"/>
    </xf>
    <xf borderId="12" fillId="8" fontId="3" numFmtId="10" xfId="0" applyAlignment="1" applyBorder="1" applyFont="1" applyNumberFormat="1">
      <alignment horizontal="center" readingOrder="0" vertical="center"/>
    </xf>
    <xf borderId="17" fillId="9" fontId="1" numFmtId="0" xfId="0" applyAlignment="1" applyBorder="1" applyFill="1" applyFont="1">
      <alignment horizontal="center" vertical="center"/>
    </xf>
    <xf borderId="18" fillId="9" fontId="3" numFmtId="9" xfId="0" applyAlignment="1" applyBorder="1" applyFont="1" applyNumberFormat="1">
      <alignment horizontal="center" vertical="center"/>
    </xf>
    <xf borderId="13" fillId="7" fontId="3" numFmtId="164" xfId="0" applyAlignment="1" applyBorder="1" applyFont="1" applyNumberFormat="1">
      <alignment horizontal="left" vertical="center"/>
    </xf>
    <xf borderId="13" fillId="7" fontId="3" numFmtId="164" xfId="0" applyAlignment="1" applyBorder="1" applyFont="1" applyNumberFormat="1">
      <alignment horizontal="left" readingOrder="0" vertical="center"/>
    </xf>
    <xf borderId="10" fillId="7" fontId="3" numFmtId="164" xfId="0" applyAlignment="1" applyBorder="1" applyFont="1" applyNumberFormat="1">
      <alignment vertical="center"/>
    </xf>
    <xf borderId="4" fillId="7" fontId="3" numFmtId="3" xfId="0" applyAlignment="1" applyBorder="1" applyFont="1" applyNumberFormat="1">
      <alignment readingOrder="0" vertical="center"/>
    </xf>
    <xf borderId="5" fillId="10" fontId="1" numFmtId="0" xfId="0" applyAlignment="1" applyBorder="1" applyFill="1" applyFont="1">
      <alignment horizontal="center" vertical="center"/>
    </xf>
    <xf borderId="5" fillId="11" fontId="3" numFmtId="9" xfId="0" applyAlignment="1" applyBorder="1" applyFill="1" applyFont="1" applyNumberFormat="1">
      <alignment readingOrder="0" vertical="center"/>
    </xf>
    <xf borderId="13" fillId="5" fontId="1" numFmtId="0" xfId="0" applyAlignment="1" applyBorder="1" applyFont="1">
      <alignment horizontal="center" vertical="center"/>
    </xf>
    <xf borderId="13" fillId="5" fontId="4" numFmtId="164" xfId="0" applyAlignment="1" applyBorder="1" applyFont="1" applyNumberFormat="1">
      <alignment vertical="center"/>
    </xf>
    <xf borderId="13" fillId="7" fontId="1" numFmtId="0" xfId="0" applyAlignment="1" applyBorder="1" applyFont="1">
      <alignment horizontal="center" vertical="center"/>
    </xf>
    <xf borderId="13" fillId="7" fontId="3" numFmtId="164" xfId="0" applyAlignment="1" applyBorder="1" applyFont="1" applyNumberFormat="1">
      <alignment readingOrder="0" vertical="center"/>
    </xf>
    <xf borderId="4" fillId="7" fontId="1" numFmtId="0" xfId="0" applyAlignment="1" applyBorder="1" applyFont="1">
      <alignment horizontal="center" vertical="center"/>
    </xf>
    <xf borderId="4" fillId="7" fontId="3" numFmtId="9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23" fillId="4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12" fillId="4" fontId="1" numFmtId="0" xfId="0" applyAlignment="1" applyBorder="1" applyFont="1">
      <alignment horizontal="center" vertical="center"/>
    </xf>
    <xf borderId="10" fillId="7" fontId="3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horizontal="center" readingOrder="0" vertical="center"/>
    </xf>
    <xf borderId="14" fillId="0" fontId="3" numFmtId="164" xfId="0" applyAlignment="1" applyBorder="1" applyFont="1" applyNumberFormat="1">
      <alignment horizontal="left" readingOrder="0" vertical="center"/>
    </xf>
    <xf borderId="14" fillId="0" fontId="3" numFmtId="0" xfId="0" applyAlignment="1" applyBorder="1" applyFont="1">
      <alignment horizontal="center" readingOrder="0" vertical="center"/>
    </xf>
    <xf borderId="15" fillId="0" fontId="3" numFmtId="2" xfId="0" applyAlignment="1" applyBorder="1" applyFont="1" applyNumberFormat="1">
      <alignment horizontal="center" vertical="center"/>
    </xf>
    <xf borderId="13" fillId="7" fontId="3" numFmtId="0" xfId="0" applyAlignment="1" applyBorder="1" applyFont="1">
      <alignment horizontal="center" readingOrder="0" vertical="center"/>
    </xf>
    <xf borderId="25" fillId="0" fontId="3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26" fillId="0" fontId="3" numFmtId="2" xfId="0" applyAlignment="1" applyBorder="1" applyFont="1" applyNumberFormat="1">
      <alignment horizontal="center" vertical="center"/>
    </xf>
    <xf borderId="4" fillId="7" fontId="3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readingOrder="0" vertical="center"/>
    </xf>
    <xf borderId="16" fillId="0" fontId="3" numFmtId="164" xfId="0" applyAlignment="1" applyBorder="1" applyFont="1" applyNumberFormat="1">
      <alignment horizontal="left" readingOrder="0" vertical="center"/>
    </xf>
    <xf borderId="16" fillId="0" fontId="3" numFmtId="2" xfId="0" applyAlignment="1" applyBorder="1" applyFont="1" applyNumberFormat="1">
      <alignment horizontal="center" readingOrder="0" vertical="center"/>
    </xf>
    <xf borderId="21" fillId="0" fontId="3" numFmtId="2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/>
    </xf>
    <xf borderId="22" fillId="10" fontId="1" numFmtId="0" xfId="0" applyAlignment="1" applyBorder="1" applyFont="1">
      <alignment horizontal="center" vertical="center"/>
    </xf>
    <xf borderId="4" fillId="10" fontId="3" numFmtId="166" xfId="0" applyAlignment="1" applyBorder="1" applyFont="1" applyNumberFormat="1">
      <alignment vertical="center"/>
    </xf>
    <xf borderId="23" fillId="6" fontId="1" numFmtId="0" xfId="0" applyAlignment="1" applyBorder="1" applyFont="1">
      <alignment horizontal="center" vertical="center"/>
    </xf>
    <xf borderId="10" fillId="6" fontId="3" numFmtId="166" xfId="0" applyAlignment="1" applyBorder="1" applyFont="1" applyNumberFormat="1">
      <alignment vertical="center"/>
    </xf>
    <xf borderId="28" fillId="3" fontId="1" numFmtId="0" xfId="0" applyAlignment="1" applyBorder="1" applyFont="1">
      <alignment horizontal="center" readingOrder="0" vertical="center"/>
    </xf>
    <xf borderId="5" fillId="5" fontId="4" numFmtId="164" xfId="0" applyAlignment="1" applyBorder="1" applyFont="1" applyNumberFormat="1">
      <alignment vertical="center"/>
    </xf>
    <xf borderId="3" fillId="0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28" fillId="4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readingOrder="0" vertical="center"/>
    </xf>
    <xf borderId="13" fillId="12" fontId="3" numFmtId="0" xfId="0" applyAlignment="1" applyBorder="1" applyFill="1" applyFont="1">
      <alignment horizontal="center" vertical="center"/>
    </xf>
    <xf borderId="30" fillId="0" fontId="3" numFmtId="0" xfId="0" applyAlignment="1" applyBorder="1" applyFont="1">
      <alignment horizontal="center" vertical="center"/>
    </xf>
    <xf borderId="13" fillId="12" fontId="3" numFmtId="0" xfId="0" applyAlignment="1" applyBorder="1" applyFont="1">
      <alignment horizontal="center" readingOrder="0" vertical="center"/>
    </xf>
    <xf borderId="0" fillId="0" fontId="5" numFmtId="0" xfId="0" applyFont="1"/>
    <xf borderId="1" fillId="3" fontId="1" numFmtId="0" xfId="0" applyAlignment="1" applyBorder="1" applyFont="1">
      <alignment horizontal="center" vertical="center"/>
    </xf>
    <xf borderId="22" fillId="6" fontId="1" numFmtId="0" xfId="0" applyAlignment="1" applyBorder="1" applyFont="1">
      <alignment horizontal="center" vertical="center"/>
    </xf>
    <xf borderId="4" fillId="6" fontId="4" numFmtId="164" xfId="0" applyAlignment="1" applyBorder="1" applyFont="1" applyNumberFormat="1">
      <alignment horizontal="center" vertical="center"/>
    </xf>
    <xf borderId="30" fillId="0" fontId="3" numFmtId="2" xfId="0" applyAlignment="1" applyBorder="1" applyFont="1" applyNumberFormat="1">
      <alignment horizontal="center" vertical="center"/>
    </xf>
    <xf borderId="26" fillId="13" fontId="3" numFmtId="2" xfId="0" applyAlignment="1" applyBorder="1" applyFill="1" applyFont="1" applyNumberFormat="1">
      <alignment horizontal="center" vertical="center"/>
    </xf>
    <xf borderId="26" fillId="0" fontId="3" numFmtId="164" xfId="0" applyAlignment="1" applyBorder="1" applyFont="1" applyNumberFormat="1">
      <alignment horizontal="center" readingOrder="0" vertical="center"/>
    </xf>
    <xf borderId="5" fillId="7" fontId="3" numFmtId="164" xfId="0" applyAlignment="1" applyBorder="1" applyFont="1" applyNumberFormat="1">
      <alignment horizontal="center" vertical="center"/>
    </xf>
    <xf borderId="12" fillId="7" fontId="3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/>
    </xf>
    <xf borderId="5" fillId="6" fontId="4" numFmtId="164" xfId="0" applyAlignment="1" applyBorder="1" applyFont="1" applyNumberFormat="1">
      <alignment horizontal="center" vertical="center"/>
    </xf>
    <xf borderId="7" fillId="3" fontId="5" numFmtId="0" xfId="0" applyAlignment="1" applyBorder="1" applyFont="1">
      <alignment horizontal="center"/>
    </xf>
    <xf borderId="17" fillId="7" fontId="1" numFmtId="0" xfId="0" applyAlignment="1" applyBorder="1" applyFont="1">
      <alignment horizontal="center" vertical="center"/>
    </xf>
    <xf borderId="10" fillId="7" fontId="3" numFmtId="164" xfId="0" applyAlignment="1" applyBorder="1" applyFont="1" applyNumberFormat="1">
      <alignment horizontal="center" readingOrder="0" vertical="center"/>
    </xf>
    <xf borderId="31" fillId="7" fontId="3" numFmtId="164" xfId="0" applyAlignment="1" applyBorder="1" applyFont="1" applyNumberFormat="1">
      <alignment horizontal="center" vertical="center"/>
    </xf>
    <xf borderId="13" fillId="7" fontId="3" numFmtId="10" xfId="0" applyAlignment="1" applyBorder="1" applyFont="1" applyNumberFormat="1">
      <alignment horizontal="center" vertical="center"/>
    </xf>
    <xf borderId="13" fillId="7" fontId="3" numFmtId="9" xfId="0" applyAlignment="1" applyBorder="1" applyFont="1" applyNumberFormat="1">
      <alignment horizontal="center" readingOrder="0" vertical="center"/>
    </xf>
    <xf borderId="5" fillId="5" fontId="1" numFmtId="0" xfId="0" applyAlignment="1" applyBorder="1" applyFont="1">
      <alignment horizontal="center" vertical="center"/>
    </xf>
    <xf borderId="5" fillId="5" fontId="6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5" width="15.71"/>
    <col customWidth="1" min="6" max="6" width="5.71"/>
    <col customWidth="1" min="7" max="8" width="10.71"/>
    <col customWidth="1" min="9" max="10" width="5.71"/>
    <col customWidth="1" min="11" max="26" width="20.71"/>
  </cols>
  <sheetData>
    <row r="1" ht="15.0" customHeight="1">
      <c r="B1" s="1" t="s">
        <v>0</v>
      </c>
      <c r="C1" s="2"/>
      <c r="D1" s="2"/>
      <c r="E1" s="3"/>
    </row>
    <row r="2" ht="15.0" customHeight="1">
      <c r="B2" s="4" t="s">
        <v>1</v>
      </c>
      <c r="C2" s="2"/>
      <c r="D2" s="2"/>
      <c r="E2" s="3"/>
    </row>
    <row r="3" ht="15.0" customHeight="1">
      <c r="B3" s="5" t="s">
        <v>2</v>
      </c>
      <c r="C3" s="5" t="s">
        <v>3</v>
      </c>
      <c r="D3" s="5" t="s">
        <v>4</v>
      </c>
      <c r="E3" s="6" t="s">
        <v>5</v>
      </c>
    </row>
    <row r="4" ht="15.0" customHeight="1">
      <c r="B4" s="7">
        <v>2025.0</v>
      </c>
      <c r="C4" s="8">
        <v>0.51</v>
      </c>
      <c r="D4" s="9">
        <f t="shared" ref="D4:D10" si="1">C4*4</f>
        <v>2.04</v>
      </c>
      <c r="E4" s="10">
        <f t="shared" ref="E4:E12" si="2">(D4-D5)/D5</f>
        <v>0.05154639175</v>
      </c>
    </row>
    <row r="5" ht="15.0" customHeight="1">
      <c r="B5" s="7">
        <v>2024.0</v>
      </c>
      <c r="C5" s="8">
        <v>0.485</v>
      </c>
      <c r="D5" s="9">
        <f t="shared" si="1"/>
        <v>1.94</v>
      </c>
      <c r="E5" s="10">
        <f t="shared" si="2"/>
        <v>0.05434782609</v>
      </c>
    </row>
    <row r="6" ht="15.0" customHeight="1">
      <c r="B6" s="7">
        <v>2023.0</v>
      </c>
      <c r="C6" s="8">
        <v>0.46</v>
      </c>
      <c r="D6" s="9">
        <f t="shared" si="1"/>
        <v>1.84</v>
      </c>
      <c r="E6" s="10">
        <f t="shared" si="2"/>
        <v>0.04545454545</v>
      </c>
    </row>
    <row r="7" ht="15.0" customHeight="1">
      <c r="B7" s="7">
        <v>2022.0</v>
      </c>
      <c r="C7" s="8">
        <v>0.44</v>
      </c>
      <c r="D7" s="9">
        <f t="shared" si="1"/>
        <v>1.76</v>
      </c>
      <c r="E7" s="10">
        <f t="shared" si="2"/>
        <v>0.04761904762</v>
      </c>
    </row>
    <row r="8" ht="15.0" customHeight="1">
      <c r="B8" s="7">
        <v>2021.0</v>
      </c>
      <c r="C8" s="8">
        <v>0.42</v>
      </c>
      <c r="D8" s="9">
        <f t="shared" si="1"/>
        <v>1.68</v>
      </c>
      <c r="E8" s="10">
        <f t="shared" si="2"/>
        <v>0.0243902439</v>
      </c>
    </row>
    <row r="9" ht="15.0" customHeight="1">
      <c r="B9" s="7">
        <v>2020.0</v>
      </c>
      <c r="C9" s="8">
        <v>0.41</v>
      </c>
      <c r="D9" s="9">
        <f t="shared" si="1"/>
        <v>1.64</v>
      </c>
      <c r="E9" s="10">
        <f t="shared" si="2"/>
        <v>0.025</v>
      </c>
    </row>
    <row r="10" ht="15.0" customHeight="1">
      <c r="B10" s="7">
        <v>2019.0</v>
      </c>
      <c r="C10" s="8">
        <v>0.4</v>
      </c>
      <c r="D10" s="9">
        <f t="shared" si="1"/>
        <v>1.6</v>
      </c>
      <c r="E10" s="10">
        <f t="shared" si="2"/>
        <v>0.02564102564</v>
      </c>
    </row>
    <row r="11" ht="15.0" customHeight="1">
      <c r="B11" s="7">
        <v>2018.0</v>
      </c>
      <c r="C11" s="8">
        <v>0.39</v>
      </c>
      <c r="D11" s="11">
        <f>C11*4</f>
        <v>1.56</v>
      </c>
      <c r="E11" s="10">
        <f t="shared" si="2"/>
        <v>0.05405405405</v>
      </c>
    </row>
    <row r="12" ht="15.0" customHeight="1">
      <c r="B12" s="7">
        <v>2017.0</v>
      </c>
      <c r="C12" s="8">
        <v>0.37</v>
      </c>
      <c r="D12" s="9">
        <f t="shared" ref="D12:D13" si="3">C12*4</f>
        <v>1.48</v>
      </c>
      <c r="E12" s="10">
        <f t="shared" si="2"/>
        <v>0.05714285714</v>
      </c>
    </row>
    <row r="13" ht="15.0" customHeight="1">
      <c r="B13" s="7">
        <v>2016.0</v>
      </c>
      <c r="C13" s="8">
        <v>0.35</v>
      </c>
      <c r="D13" s="9">
        <f t="shared" si="3"/>
        <v>1.4</v>
      </c>
      <c r="E13" s="12" t="s">
        <v>6</v>
      </c>
      <c r="G13" s="13" t="s">
        <v>7</v>
      </c>
      <c r="H13" s="2"/>
      <c r="I13" s="2"/>
      <c r="J13" s="3"/>
    </row>
    <row r="14" ht="4.5" customHeight="1">
      <c r="B14" s="14"/>
      <c r="C14" s="2"/>
      <c r="D14" s="2"/>
      <c r="E14" s="3"/>
    </row>
    <row r="15" ht="15.0" customHeight="1">
      <c r="B15" s="1" t="s">
        <v>8</v>
      </c>
      <c r="C15" s="3"/>
      <c r="D15" s="15">
        <f>GEOMEAN(E4:E12)</f>
        <v>0.04049507884</v>
      </c>
      <c r="E15" s="3"/>
      <c r="G15" s="16" t="s">
        <v>8</v>
      </c>
      <c r="H15" s="3"/>
      <c r="I15" s="15">
        <f>D15</f>
        <v>0.04049507884</v>
      </c>
      <c r="J15" s="3"/>
    </row>
    <row r="16" ht="15.0" customHeight="1">
      <c r="B16" s="1" t="s">
        <v>9</v>
      </c>
      <c r="C16" s="3"/>
      <c r="D16" s="17">
        <f>(D4*(1-D15)/D18)+D15</f>
        <v>0.06947627575</v>
      </c>
      <c r="E16" s="3"/>
      <c r="G16" s="16" t="s">
        <v>9</v>
      </c>
      <c r="H16" s="3"/>
      <c r="I16" s="17">
        <v>0.06947627574650397</v>
      </c>
      <c r="J16" s="3"/>
    </row>
    <row r="17" ht="4.5" customHeight="1">
      <c r="B17" s="14"/>
      <c r="C17" s="2"/>
      <c r="D17" s="2"/>
      <c r="E17" s="3"/>
      <c r="G17" s="18"/>
      <c r="H17" s="2"/>
      <c r="I17" s="2"/>
      <c r="J17" s="3"/>
    </row>
    <row r="18" ht="15.0" customHeight="1">
      <c r="B18" s="1" t="s">
        <v>10</v>
      </c>
      <c r="C18" s="3"/>
      <c r="D18" s="19">
        <v>67.54</v>
      </c>
      <c r="E18" s="3"/>
      <c r="G18" s="16" t="s">
        <v>10</v>
      </c>
      <c r="H18" s="3"/>
      <c r="I18" s="19">
        <v>67.54</v>
      </c>
      <c r="J18" s="3"/>
    </row>
    <row r="19" ht="24.75" customHeight="1">
      <c r="B19" s="20" t="s">
        <v>11</v>
      </c>
      <c r="C19" s="3"/>
      <c r="D19" s="21">
        <f>D4/(D16-D15)</f>
        <v>70.39046753</v>
      </c>
      <c r="E19" s="3"/>
      <c r="G19" s="20" t="s">
        <v>11</v>
      </c>
      <c r="H19" s="3"/>
      <c r="I19" s="22">
        <f>D4/(I16-I15)</f>
        <v>70.39046753</v>
      </c>
      <c r="J19" s="3"/>
    </row>
    <row r="20" ht="15.0" customHeight="1">
      <c r="B20" s="1" t="s">
        <v>12</v>
      </c>
      <c r="C20" s="3"/>
      <c r="D20" s="23" t="str">
        <f>IF(D19&gt;D18, "Undervalued", "Overvalued")</f>
        <v>Undervalued</v>
      </c>
      <c r="E20" s="3"/>
      <c r="G20" s="16" t="s">
        <v>12</v>
      </c>
      <c r="H20" s="3"/>
      <c r="I20" s="23" t="str">
        <f>IF(I19&gt;I18, "Undervalued", "Overvalued")</f>
        <v>Undervalued</v>
      </c>
      <c r="J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E1"/>
    <mergeCell ref="B2:E2"/>
    <mergeCell ref="G13:J13"/>
    <mergeCell ref="B14:E14"/>
    <mergeCell ref="D15:E15"/>
    <mergeCell ref="G15:H15"/>
    <mergeCell ref="I15:J15"/>
    <mergeCell ref="B15:C15"/>
    <mergeCell ref="B16:C16"/>
    <mergeCell ref="D16:E16"/>
    <mergeCell ref="G16:H16"/>
    <mergeCell ref="I16:J16"/>
    <mergeCell ref="B17:E17"/>
    <mergeCell ref="G17:J17"/>
    <mergeCell ref="B19:C19"/>
    <mergeCell ref="B20:C20"/>
    <mergeCell ref="D20:E20"/>
    <mergeCell ref="G20:H20"/>
    <mergeCell ref="I20:J20"/>
    <mergeCell ref="B18:C18"/>
    <mergeCell ref="D18:E18"/>
    <mergeCell ref="G18:H18"/>
    <mergeCell ref="I18:J18"/>
    <mergeCell ref="D19:E19"/>
    <mergeCell ref="G19:H19"/>
    <mergeCell ref="I19:J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86"/>
    <col customWidth="1" min="3" max="12" width="15.71"/>
    <col customWidth="1" min="13" max="26" width="8.71"/>
  </cols>
  <sheetData>
    <row r="1" ht="14.25" customHeight="1">
      <c r="B1" s="1" t="s">
        <v>13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4.25" customHeight="1">
      <c r="B2" s="24" t="s">
        <v>1</v>
      </c>
      <c r="C2" s="25"/>
      <c r="D2" s="25"/>
      <c r="E2" s="25"/>
      <c r="F2" s="25"/>
      <c r="G2" s="25"/>
      <c r="H2" s="25"/>
      <c r="I2" s="25"/>
      <c r="J2" s="25"/>
      <c r="K2" s="25"/>
      <c r="L2" s="26"/>
    </row>
    <row r="3" ht="14.25" customHeight="1">
      <c r="B3" s="27" t="s">
        <v>2</v>
      </c>
      <c r="C3" s="28">
        <v>2015.0</v>
      </c>
      <c r="D3" s="28">
        <v>2016.0</v>
      </c>
      <c r="E3" s="28">
        <v>2017.0</v>
      </c>
      <c r="F3" s="28">
        <v>2018.0</v>
      </c>
      <c r="G3" s="28">
        <v>2019.0</v>
      </c>
      <c r="H3" s="28">
        <v>2020.0</v>
      </c>
      <c r="I3" s="28">
        <v>2021.0</v>
      </c>
      <c r="J3" s="28">
        <v>2022.0</v>
      </c>
      <c r="K3" s="28">
        <v>2023.0</v>
      </c>
      <c r="L3" s="29">
        <v>2024.0</v>
      </c>
    </row>
    <row r="4" ht="14.25" customHeight="1">
      <c r="B4" s="30" t="s">
        <v>14</v>
      </c>
      <c r="C4" s="31">
        <v>8060.0</v>
      </c>
      <c r="D4" s="31">
        <v>6680.0</v>
      </c>
      <c r="E4" s="31">
        <v>5399.0</v>
      </c>
      <c r="F4" s="31">
        <v>6327.0</v>
      </c>
      <c r="G4" s="31">
        <v>9395.0</v>
      </c>
      <c r="H4" s="31">
        <v>8856.0</v>
      </c>
      <c r="I4" s="31">
        <v>11366.0</v>
      </c>
      <c r="J4" s="31">
        <v>9609.0</v>
      </c>
      <c r="K4" s="31">
        <v>9821.0</v>
      </c>
      <c r="L4" s="32">
        <v>10800.0</v>
      </c>
    </row>
    <row r="5" ht="14.25" customHeight="1">
      <c r="B5" s="5" t="s">
        <v>5</v>
      </c>
      <c r="C5" s="33" t="s">
        <v>6</v>
      </c>
      <c r="D5" s="34">
        <f t="shared" ref="D5:L5" si="1">(D4-C4)/C4</f>
        <v>-0.1712158809</v>
      </c>
      <c r="E5" s="34">
        <f t="shared" si="1"/>
        <v>-0.1917664671</v>
      </c>
      <c r="F5" s="34">
        <f t="shared" si="1"/>
        <v>0.1718836822</v>
      </c>
      <c r="G5" s="34">
        <f t="shared" si="1"/>
        <v>0.4849059586</v>
      </c>
      <c r="H5" s="34">
        <f t="shared" si="1"/>
        <v>-0.05737094199</v>
      </c>
      <c r="I5" s="34">
        <f t="shared" si="1"/>
        <v>0.2834236676</v>
      </c>
      <c r="J5" s="34">
        <f t="shared" si="1"/>
        <v>-0.1545838466</v>
      </c>
      <c r="K5" s="34">
        <f t="shared" si="1"/>
        <v>0.0220626496</v>
      </c>
      <c r="L5" s="34">
        <f t="shared" si="1"/>
        <v>0.09968434986</v>
      </c>
    </row>
    <row r="6" ht="14.25" customHeight="1">
      <c r="B6" s="35" t="s">
        <v>15</v>
      </c>
      <c r="C6" s="36">
        <f>AVERAGE(D5:L5)</f>
        <v>0.0541136857</v>
      </c>
      <c r="D6" s="37"/>
      <c r="E6" s="37"/>
      <c r="F6" s="37"/>
      <c r="G6" s="37"/>
      <c r="H6" s="37"/>
      <c r="I6" s="37"/>
      <c r="J6" s="37"/>
      <c r="K6" s="37"/>
      <c r="L6" s="37"/>
    </row>
    <row r="7" ht="4.5" customHeight="1">
      <c r="B7" s="38"/>
      <c r="C7" s="2"/>
      <c r="D7" s="2"/>
      <c r="E7" s="2"/>
      <c r="F7" s="2"/>
      <c r="G7" s="2"/>
      <c r="H7" s="2"/>
      <c r="I7" s="2"/>
      <c r="J7" s="2"/>
      <c r="K7" s="2"/>
      <c r="L7" s="3"/>
    </row>
    <row r="8" ht="14.25" customHeight="1">
      <c r="B8" s="37"/>
      <c r="C8" s="39">
        <v>1.0</v>
      </c>
      <c r="D8" s="40">
        <v>2.0</v>
      </c>
      <c r="E8" s="40">
        <v>3.0</v>
      </c>
      <c r="F8" s="40">
        <v>4.0</v>
      </c>
      <c r="G8" s="40">
        <v>5.0</v>
      </c>
      <c r="H8" s="40">
        <v>6.0</v>
      </c>
      <c r="I8" s="40">
        <v>7.0</v>
      </c>
      <c r="J8" s="40">
        <v>8.0</v>
      </c>
      <c r="K8" s="40">
        <v>9.0</v>
      </c>
      <c r="L8" s="41">
        <v>10.0</v>
      </c>
    </row>
    <row r="9" ht="14.25" customHeight="1">
      <c r="B9" s="27" t="s">
        <v>2</v>
      </c>
      <c r="C9" s="28">
        <v>2026.0</v>
      </c>
      <c r="D9" s="28">
        <v>2027.0</v>
      </c>
      <c r="E9" s="28">
        <v>2028.0</v>
      </c>
      <c r="F9" s="28">
        <v>2029.0</v>
      </c>
      <c r="G9" s="28">
        <v>2030.0</v>
      </c>
      <c r="H9" s="28">
        <v>2031.0</v>
      </c>
      <c r="I9" s="28">
        <v>2032.0</v>
      </c>
      <c r="J9" s="28">
        <v>2033.0</v>
      </c>
      <c r="K9" s="28">
        <v>2034.0</v>
      </c>
      <c r="L9" s="29" t="s">
        <v>16</v>
      </c>
    </row>
    <row r="10" ht="14.25" customHeight="1">
      <c r="B10" s="30" t="s">
        <v>17</v>
      </c>
      <c r="C10" s="42">
        <f>L4*(1+C6)</f>
        <v>11384.42781</v>
      </c>
      <c r="D10" s="42">
        <f t="shared" ref="D10:K10" si="2">C10*(1+$C$6)</f>
        <v>12000.48115</v>
      </c>
      <c r="E10" s="42">
        <f t="shared" si="2"/>
        <v>12649.87142</v>
      </c>
      <c r="F10" s="42">
        <f t="shared" si="2"/>
        <v>13334.40259</v>
      </c>
      <c r="G10" s="42">
        <f t="shared" si="2"/>
        <v>14055.97626</v>
      </c>
      <c r="H10" s="42">
        <f t="shared" si="2"/>
        <v>14816.59694</v>
      </c>
      <c r="I10" s="42">
        <f t="shared" si="2"/>
        <v>15618.37761</v>
      </c>
      <c r="J10" s="42">
        <f t="shared" si="2"/>
        <v>16463.54558</v>
      </c>
      <c r="K10" s="42">
        <f t="shared" si="2"/>
        <v>17354.44871</v>
      </c>
      <c r="L10" s="43">
        <f>K10*(1+C12)/(C13-C12)</f>
        <v>323423.817</v>
      </c>
    </row>
    <row r="11" ht="14.25" customHeight="1">
      <c r="B11" s="5" t="s">
        <v>18</v>
      </c>
      <c r="C11" s="44">
        <f t="shared" ref="C11:L11" si="3">C10/(1+$C$13)^C8</f>
        <v>10541.13686</v>
      </c>
      <c r="D11" s="45">
        <f t="shared" si="3"/>
        <v>10288.47836</v>
      </c>
      <c r="E11" s="45">
        <f t="shared" si="3"/>
        <v>10041.87578</v>
      </c>
      <c r="F11" s="45">
        <f t="shared" si="3"/>
        <v>9801.183969</v>
      </c>
      <c r="G11" s="45">
        <f t="shared" si="3"/>
        <v>9566.261257</v>
      </c>
      <c r="H11" s="45">
        <f t="shared" si="3"/>
        <v>9336.969363</v>
      </c>
      <c r="I11" s="45">
        <f t="shared" si="3"/>
        <v>9113.173323</v>
      </c>
      <c r="J11" s="45">
        <f t="shared" si="3"/>
        <v>8894.741407</v>
      </c>
      <c r="K11" s="45">
        <f t="shared" si="3"/>
        <v>8681.545045</v>
      </c>
      <c r="L11" s="46">
        <f t="shared" si="3"/>
        <v>149807.8059</v>
      </c>
    </row>
    <row r="12" ht="14.25" customHeight="1">
      <c r="B12" s="47" t="s">
        <v>19</v>
      </c>
      <c r="C12" s="48">
        <v>0.025</v>
      </c>
      <c r="D12" s="37"/>
      <c r="E12" s="37"/>
      <c r="F12" s="37"/>
      <c r="G12" s="37"/>
      <c r="H12" s="37"/>
      <c r="I12" s="37"/>
      <c r="J12" s="37"/>
      <c r="K12" s="37"/>
      <c r="L12" s="37"/>
    </row>
    <row r="13" ht="14.25" customHeight="1">
      <c r="B13" s="49" t="s">
        <v>20</v>
      </c>
      <c r="C13" s="50">
        <v>0.08</v>
      </c>
      <c r="D13" s="37"/>
      <c r="E13" s="37"/>
      <c r="F13" s="37"/>
      <c r="G13" s="37"/>
      <c r="H13" s="37"/>
      <c r="I13" s="37"/>
      <c r="J13" s="37"/>
      <c r="K13" s="37"/>
      <c r="L13" s="37"/>
    </row>
    <row r="14" ht="4.5" customHeight="1">
      <c r="B14" s="38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ht="14.25" customHeight="1">
      <c r="B15" s="30" t="s">
        <v>21</v>
      </c>
      <c r="C15" s="51">
        <f>SUM(C11:L11)</f>
        <v>236073.1713</v>
      </c>
      <c r="D15" s="37"/>
      <c r="E15" s="37"/>
      <c r="F15" s="37"/>
      <c r="G15" s="37"/>
      <c r="H15" s="37"/>
      <c r="I15" s="37"/>
      <c r="J15" s="37"/>
      <c r="K15" s="37"/>
      <c r="L15" s="37"/>
    </row>
    <row r="16" ht="14.25" customHeight="1">
      <c r="B16" s="30" t="s">
        <v>22</v>
      </c>
      <c r="C16" s="52">
        <v>10828.0</v>
      </c>
      <c r="D16" s="37"/>
      <c r="E16" s="37"/>
      <c r="F16" s="37"/>
      <c r="G16" s="37"/>
      <c r="H16" s="37"/>
      <c r="I16" s="37"/>
      <c r="J16" s="37"/>
      <c r="K16" s="37"/>
      <c r="L16" s="37"/>
    </row>
    <row r="17" ht="14.25" customHeight="1">
      <c r="B17" s="30" t="s">
        <v>23</v>
      </c>
      <c r="C17" s="52">
        <v>44522.0</v>
      </c>
      <c r="D17" s="37"/>
      <c r="E17" s="37"/>
      <c r="F17" s="37"/>
      <c r="G17" s="37"/>
      <c r="H17" s="37"/>
      <c r="I17" s="37"/>
      <c r="J17" s="37"/>
      <c r="K17" s="37"/>
      <c r="L17" s="37"/>
    </row>
    <row r="18" ht="14.25" customHeight="1">
      <c r="B18" s="27" t="s">
        <v>24</v>
      </c>
      <c r="C18" s="53">
        <f>C15+C16-C17</f>
        <v>202379.1713</v>
      </c>
      <c r="D18" s="37"/>
      <c r="E18" s="37"/>
      <c r="F18" s="37"/>
      <c r="G18" s="37"/>
      <c r="H18" s="37"/>
      <c r="I18" s="37"/>
      <c r="J18" s="37"/>
      <c r="K18" s="37"/>
      <c r="L18" s="37"/>
    </row>
    <row r="19" ht="14.25" customHeight="1">
      <c r="B19" s="5" t="s">
        <v>25</v>
      </c>
      <c r="C19" s="54">
        <v>4300.0</v>
      </c>
      <c r="D19" s="37"/>
      <c r="E19" s="37"/>
      <c r="F19" s="37"/>
      <c r="G19" s="37"/>
      <c r="H19" s="37"/>
      <c r="I19" s="37"/>
      <c r="J19" s="37"/>
      <c r="K19" s="37"/>
      <c r="L19" s="37"/>
    </row>
    <row r="20" ht="14.25" customHeight="1">
      <c r="B20" s="55" t="s">
        <v>26</v>
      </c>
      <c r="C20" s="56">
        <v>0.0</v>
      </c>
      <c r="D20" s="37"/>
      <c r="E20" s="37"/>
      <c r="F20" s="37"/>
      <c r="G20" s="37"/>
      <c r="H20" s="37"/>
      <c r="I20" s="37"/>
      <c r="J20" s="37"/>
      <c r="K20" s="37"/>
      <c r="L20" s="37"/>
    </row>
    <row r="21" ht="30.0" customHeight="1">
      <c r="B21" s="57" t="s">
        <v>27</v>
      </c>
      <c r="C21" s="58">
        <f>(C18/C19)*(1-C20)</f>
        <v>47.06492355</v>
      </c>
      <c r="D21" s="37"/>
      <c r="E21" s="37"/>
      <c r="F21" s="37"/>
      <c r="G21" s="37"/>
      <c r="H21" s="37"/>
      <c r="I21" s="37"/>
      <c r="J21" s="37"/>
      <c r="K21" s="37"/>
      <c r="L21" s="37"/>
    </row>
    <row r="22" ht="4.5" customHeight="1">
      <c r="B22" s="38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14.25" customHeight="1">
      <c r="B23" s="59" t="s">
        <v>10</v>
      </c>
      <c r="C23" s="60">
        <v>67.6</v>
      </c>
      <c r="D23" s="37"/>
      <c r="E23" s="37"/>
      <c r="F23" s="37"/>
      <c r="G23" s="37"/>
      <c r="H23" s="37"/>
      <c r="I23" s="37"/>
      <c r="J23" s="37"/>
      <c r="K23" s="37"/>
      <c r="L23" s="37"/>
    </row>
    <row r="24" ht="14.25" customHeight="1">
      <c r="B24" s="61" t="s">
        <v>28</v>
      </c>
      <c r="C24" s="62">
        <f>(C21-C23)/C23</f>
        <v>-0.3037733203</v>
      </c>
      <c r="D24" s="37"/>
      <c r="E24" s="37"/>
      <c r="F24" s="37"/>
      <c r="G24" s="37"/>
      <c r="H24" s="37"/>
      <c r="I24" s="37"/>
      <c r="J24" s="37"/>
      <c r="K24" s="37"/>
      <c r="L24" s="37"/>
    </row>
    <row r="25" ht="14.25" customHeight="1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L1"/>
    <mergeCell ref="B2:L2"/>
    <mergeCell ref="B7:L7"/>
    <mergeCell ref="B14:L14"/>
    <mergeCell ref="B22:L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5.71"/>
    <col customWidth="1" min="3" max="3" width="26.29"/>
    <col customWidth="1" min="4" max="12" width="15.71"/>
    <col customWidth="1" min="13" max="26" width="8.71"/>
  </cols>
  <sheetData>
    <row r="1" ht="14.25" customHeight="1">
      <c r="B1" s="1" t="s">
        <v>29</v>
      </c>
      <c r="C1" s="2"/>
      <c r="D1" s="2"/>
      <c r="E1" s="2"/>
      <c r="F1" s="3"/>
      <c r="G1" s="63"/>
      <c r="H1" s="63"/>
      <c r="I1" s="63"/>
      <c r="J1" s="63"/>
      <c r="K1" s="63"/>
      <c r="L1" s="63"/>
    </row>
    <row r="2" ht="14.25" customHeight="1">
      <c r="B2" s="24" t="s">
        <v>1</v>
      </c>
      <c r="C2" s="25"/>
      <c r="D2" s="25"/>
      <c r="E2" s="25"/>
      <c r="F2" s="26"/>
      <c r="G2" s="63"/>
      <c r="H2" s="63"/>
      <c r="I2" s="63"/>
      <c r="J2" s="63"/>
      <c r="K2" s="63"/>
      <c r="L2" s="63"/>
    </row>
    <row r="3" ht="14.25" customHeight="1">
      <c r="B3" s="64" t="s">
        <v>30</v>
      </c>
      <c r="C3" s="65" t="s">
        <v>31</v>
      </c>
      <c r="D3" s="65" t="s">
        <v>32</v>
      </c>
      <c r="E3" s="65" t="s">
        <v>33</v>
      </c>
      <c r="F3" s="66" t="s">
        <v>34</v>
      </c>
    </row>
    <row r="4" ht="14.25" customHeight="1">
      <c r="B4" s="67" t="s">
        <v>35</v>
      </c>
      <c r="C4" s="68" t="s">
        <v>36</v>
      </c>
      <c r="D4" s="69">
        <v>137.01</v>
      </c>
      <c r="E4" s="70">
        <v>5.27</v>
      </c>
      <c r="F4" s="71">
        <f t="shared" ref="F4:F7" si="1">D4/E4</f>
        <v>25.99810247</v>
      </c>
    </row>
    <row r="5" ht="14.25" customHeight="1">
      <c r="B5" s="72" t="s">
        <v>37</v>
      </c>
      <c r="C5" s="73" t="s">
        <v>38</v>
      </c>
      <c r="D5" s="74">
        <v>23.0</v>
      </c>
      <c r="E5" s="75">
        <v>-3.71</v>
      </c>
      <c r="F5" s="76">
        <f t="shared" si="1"/>
        <v>-6.199460916</v>
      </c>
    </row>
    <row r="6" ht="14.25" customHeight="1">
      <c r="B6" s="72" t="s">
        <v>39</v>
      </c>
      <c r="C6" s="73" t="s">
        <v>40</v>
      </c>
      <c r="D6" s="74">
        <v>76.15</v>
      </c>
      <c r="E6" s="75">
        <v>1.77</v>
      </c>
      <c r="F6" s="76">
        <f t="shared" si="1"/>
        <v>43.02259887</v>
      </c>
    </row>
    <row r="7" ht="14.25" customHeight="1">
      <c r="B7" s="77" t="s">
        <v>41</v>
      </c>
      <c r="C7" s="78" t="s">
        <v>42</v>
      </c>
      <c r="D7" s="79">
        <v>27.23</v>
      </c>
      <c r="E7" s="80">
        <v>1.17</v>
      </c>
      <c r="F7" s="81">
        <f t="shared" si="1"/>
        <v>23.27350427</v>
      </c>
    </row>
    <row r="8" ht="4.5" customHeight="1">
      <c r="B8" s="82"/>
      <c r="C8" s="2"/>
      <c r="D8" s="2"/>
      <c r="E8" s="2"/>
      <c r="F8" s="3"/>
    </row>
    <row r="9" ht="14.25" customHeight="1">
      <c r="B9" s="83" t="s">
        <v>43</v>
      </c>
      <c r="C9" s="84">
        <f>AVERAGE(F4:F7)</f>
        <v>21.52368617</v>
      </c>
    </row>
    <row r="10" ht="14.25" customHeight="1">
      <c r="B10" s="85" t="s">
        <v>44</v>
      </c>
      <c r="C10" s="86">
        <f>MEDIAN(F4:F7)</f>
        <v>24.63580337</v>
      </c>
    </row>
    <row r="11" ht="4.5" customHeight="1">
      <c r="B11" s="82"/>
      <c r="C11" s="2"/>
      <c r="D11" s="2"/>
      <c r="E11" s="2"/>
      <c r="F11" s="3"/>
    </row>
    <row r="12" ht="14.25" customHeight="1">
      <c r="B12" s="5" t="s">
        <v>30</v>
      </c>
      <c r="C12" s="5" t="s">
        <v>32</v>
      </c>
      <c r="D12" s="5" t="s">
        <v>45</v>
      </c>
    </row>
    <row r="13" ht="24.75" customHeight="1">
      <c r="B13" s="87" t="s">
        <v>46</v>
      </c>
      <c r="C13" s="88">
        <f>C10*D13</f>
        <v>79.32728685</v>
      </c>
      <c r="D13" s="89">
        <v>3.22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F1"/>
    <mergeCell ref="B2:F2"/>
    <mergeCell ref="B8:F8"/>
    <mergeCell ref="B11:F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5.71"/>
    <col customWidth="1" min="3" max="3" width="25.71"/>
    <col customWidth="1" min="4" max="6" width="10.71"/>
    <col customWidth="1" min="7" max="26" width="8.71"/>
  </cols>
  <sheetData>
    <row r="1" ht="14.25" customHeight="1">
      <c r="B1" s="1" t="s">
        <v>47</v>
      </c>
      <c r="C1" s="2"/>
      <c r="D1" s="90"/>
      <c r="E1" s="90"/>
      <c r="F1" s="90"/>
    </row>
    <row r="2" ht="14.25" customHeight="1">
      <c r="B2" s="24" t="s">
        <v>1</v>
      </c>
      <c r="C2" s="25"/>
      <c r="D2" s="90"/>
      <c r="E2" s="90"/>
      <c r="F2" s="90"/>
    </row>
    <row r="3" ht="14.25" customHeight="1">
      <c r="B3" s="91" t="s">
        <v>30</v>
      </c>
      <c r="C3" s="92" t="s">
        <v>46</v>
      </c>
    </row>
    <row r="4" ht="14.25" customHeight="1">
      <c r="B4" s="14" t="s">
        <v>45</v>
      </c>
      <c r="C4" s="93">
        <v>3.22</v>
      </c>
    </row>
    <row r="5" ht="14.25" customHeight="1">
      <c r="B5" s="91" t="s">
        <v>48</v>
      </c>
      <c r="C5" s="94">
        <v>7.0</v>
      </c>
    </row>
    <row r="6" ht="14.25" customHeight="1">
      <c r="B6" s="91" t="s">
        <v>49</v>
      </c>
      <c r="C6" s="95">
        <v>12.5</v>
      </c>
    </row>
    <row r="7" ht="14.25" customHeight="1">
      <c r="B7" s="91" t="s">
        <v>50</v>
      </c>
      <c r="C7" s="96">
        <v>1.5</v>
      </c>
    </row>
    <row r="8" ht="14.25" customHeight="1">
      <c r="B8" s="91" t="s">
        <v>51</v>
      </c>
      <c r="C8" s="96">
        <v>4.4</v>
      </c>
    </row>
    <row r="9" ht="14.25" customHeight="1">
      <c r="B9" s="64" t="s">
        <v>52</v>
      </c>
      <c r="C9" s="97">
        <v>5.31</v>
      </c>
    </row>
    <row r="10" ht="4.5" customHeight="1">
      <c r="A10" s="98"/>
      <c r="B10" s="99"/>
      <c r="C10" s="3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24.75" customHeight="1">
      <c r="B11" s="100" t="s">
        <v>53</v>
      </c>
      <c r="C11" s="101">
        <f>(C4*(C5+(C7*C6))*C8/C9)</f>
        <v>68.70546139</v>
      </c>
    </row>
    <row r="12" ht="4.5" customHeight="1">
      <c r="B12" s="99"/>
      <c r="C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C1"/>
    <mergeCell ref="B2:C2"/>
    <mergeCell ref="B10:C10"/>
    <mergeCell ref="B12:C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5.71"/>
    <col customWidth="1" min="3" max="3" width="25.71"/>
    <col customWidth="1" min="4" max="6" width="10.71"/>
    <col customWidth="1" min="7" max="26" width="8.71"/>
  </cols>
  <sheetData>
    <row r="1" ht="14.25" customHeight="1">
      <c r="B1" s="1" t="s">
        <v>54</v>
      </c>
      <c r="C1" s="3"/>
      <c r="D1" s="90"/>
      <c r="E1" s="90"/>
      <c r="F1" s="90"/>
    </row>
    <row r="2" ht="14.25" customHeight="1">
      <c r="B2" s="24" t="s">
        <v>1</v>
      </c>
      <c r="C2" s="26"/>
      <c r="D2" s="90"/>
      <c r="E2" s="90"/>
      <c r="F2" s="90"/>
    </row>
    <row r="3" ht="14.25" customHeight="1">
      <c r="B3" s="91" t="s">
        <v>30</v>
      </c>
      <c r="C3" s="92" t="s">
        <v>46</v>
      </c>
    </row>
    <row r="4" ht="14.25" customHeight="1">
      <c r="B4" s="91" t="s">
        <v>45</v>
      </c>
      <c r="C4" s="94">
        <v>3.22</v>
      </c>
    </row>
    <row r="5" ht="14.25" customHeight="1">
      <c r="B5" s="91" t="s">
        <v>55</v>
      </c>
      <c r="C5" s="96">
        <f> (21.06+23.16)/2</f>
        <v>22.11</v>
      </c>
    </row>
    <row r="6" ht="14.25" customHeight="1">
      <c r="B6" s="91" t="s">
        <v>56</v>
      </c>
      <c r="C6" s="102">
        <f>C5/C7</f>
        <v>2.105714286</v>
      </c>
    </row>
    <row r="7" ht="14.25" customHeight="1">
      <c r="B7" s="91" t="s">
        <v>57</v>
      </c>
      <c r="C7" s="94">
        <v>10.5</v>
      </c>
    </row>
    <row r="8" ht="14.25" customHeight="1">
      <c r="B8" s="6" t="s">
        <v>58</v>
      </c>
      <c r="C8" s="103">
        <f>(1+((7.23/5.23)/5.23)^1/10-1)*100</f>
        <v>2.643229786</v>
      </c>
      <c r="D8" s="73" t="s">
        <v>6</v>
      </c>
    </row>
    <row r="9" ht="14.25" customHeight="1">
      <c r="B9" s="6" t="s">
        <v>10</v>
      </c>
      <c r="C9" s="104">
        <v>67.52</v>
      </c>
    </row>
    <row r="10" ht="4.5" customHeight="1">
      <c r="A10" s="98"/>
      <c r="B10" s="99"/>
      <c r="C10" s="3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24.75" customHeight="1">
      <c r="B11" s="100" t="s">
        <v>59</v>
      </c>
      <c r="C11" s="101">
        <f>C6*C7*C4</f>
        <v>71.1942</v>
      </c>
    </row>
    <row r="12" ht="4.5" customHeight="1">
      <c r="B12" s="99"/>
      <c r="C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B1:C1"/>
    <mergeCell ref="B2:C2"/>
    <mergeCell ref="B10:C10"/>
    <mergeCell ref="B12:C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0.71"/>
    <col customWidth="1" min="4" max="26" width="8.71"/>
  </cols>
  <sheetData>
    <row r="1" ht="14.25" customHeight="1">
      <c r="B1" s="1" t="s">
        <v>60</v>
      </c>
      <c r="C1" s="3"/>
      <c r="D1" s="90"/>
      <c r="E1" s="90"/>
      <c r="F1" s="90"/>
    </row>
    <row r="2" ht="14.25" customHeight="1">
      <c r="B2" s="4" t="s">
        <v>1</v>
      </c>
      <c r="C2" s="3"/>
      <c r="D2" s="98"/>
      <c r="E2" s="98"/>
      <c r="F2" s="98"/>
    </row>
    <row r="3" ht="19.5" customHeight="1">
      <c r="B3" s="6" t="s">
        <v>61</v>
      </c>
      <c r="C3" s="105">
        <f>DDM!D19</f>
        <v>70.39046753</v>
      </c>
    </row>
    <row r="4" ht="19.5" customHeight="1">
      <c r="B4" s="6" t="s">
        <v>62</v>
      </c>
      <c r="C4" s="105">
        <f>DCF!C21</f>
        <v>47.06492355</v>
      </c>
    </row>
    <row r="5" ht="19.5" customHeight="1">
      <c r="B5" s="6" t="s">
        <v>63</v>
      </c>
      <c r="C5" s="105">
        <f>Multiples!C13</f>
        <v>79.32728685</v>
      </c>
    </row>
    <row r="6" ht="19.5" customHeight="1">
      <c r="B6" s="6" t="s">
        <v>64</v>
      </c>
      <c r="C6" s="105">
        <f>'Grahams Revised'!C11</f>
        <v>68.70546139</v>
      </c>
    </row>
    <row r="7" ht="19.5" customHeight="1">
      <c r="B7" s="6" t="s">
        <v>54</v>
      </c>
      <c r="C7" s="106">
        <f>'Peter Lynchs Adapted FV'!C11</f>
        <v>71.1942</v>
      </c>
    </row>
    <row r="8" ht="4.5" customHeight="1">
      <c r="B8" s="107"/>
      <c r="C8" s="3"/>
    </row>
    <row r="9" ht="30.0" customHeight="1">
      <c r="B9" s="100" t="s">
        <v>65</v>
      </c>
      <c r="C9" s="108">
        <f>AVERAGE(C3:C7)</f>
        <v>67.33646787</v>
      </c>
    </row>
    <row r="10" ht="4.5" customHeight="1">
      <c r="B10" s="109"/>
      <c r="C10" s="26"/>
    </row>
    <row r="11" ht="14.25" customHeight="1">
      <c r="B11" s="110" t="s">
        <v>10</v>
      </c>
      <c r="C11" s="111">
        <v>67.52</v>
      </c>
    </row>
    <row r="12" ht="14.25" customHeight="1">
      <c r="B12" s="110" t="s">
        <v>12</v>
      </c>
      <c r="C12" s="112" t="str">
        <f>IF(C9&gt;C11, "Undervalued", "Overvalued")</f>
        <v>Overvalued</v>
      </c>
    </row>
    <row r="13" ht="14.25" customHeight="1">
      <c r="B13" s="110" t="s">
        <v>28</v>
      </c>
      <c r="C13" s="113">
        <f>(C11/C9)-1</f>
        <v>0.00272559789</v>
      </c>
    </row>
    <row r="14" ht="14.25" customHeight="1">
      <c r="B14" s="110" t="s">
        <v>66</v>
      </c>
      <c r="C14" s="114">
        <v>0.0</v>
      </c>
    </row>
    <row r="15" ht="24.75" customHeight="1">
      <c r="B15" s="115" t="s">
        <v>67</v>
      </c>
      <c r="C15" s="116">
        <f>(1-C14)*C9</f>
        <v>67.33646787</v>
      </c>
    </row>
    <row r="16" ht="4.5" customHeight="1">
      <c r="B16" s="107"/>
      <c r="C16" s="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B1:C1"/>
    <mergeCell ref="B2:C2"/>
    <mergeCell ref="B8:C8"/>
    <mergeCell ref="B10:C10"/>
    <mergeCell ref="B16:C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2025-10-15T23:23:33Z</dcterms:created>
  <dc:creator>Luis</dc:creator>
</cp:coreProperties>
</file>